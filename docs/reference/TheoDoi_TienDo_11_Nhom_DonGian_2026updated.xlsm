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Theo dõi 11 nhóm" sheetId="1" r:id="rId4"/>
  </sheets>
  <definedNames/>
  <calcPr/>
  <extLst>
    <ext uri="GoogleSheetsCustomDataVersion2">
      <go:sheetsCustomData xmlns:go="http://customooxmlschemas.google.com/" r:id="rId5" roundtripDataChecksum="tvH4RaqscTiEtllk6VWB27GG5fHJAxW6DXUk03L9UIk="/>
    </ext>
  </extLst>
</workbook>
</file>

<file path=xl/sharedStrings.xml><?xml version="1.0" encoding="utf-8"?>
<sst xmlns="http://schemas.openxmlformats.org/spreadsheetml/2006/main" count="479" uniqueCount="240">
  <si>
    <t>BẢNG THEO DÕI TIẾN ĐỘ HÀNG TUẦN – NHÓM ĐỒ ÁN TỐT NGHIỆP 2026</t>
  </si>
  <si>
    <t>GREEN = đạt tốt/đúng tiến độ; YELLOW = cần chú ý; RED = chậm/thiếu mốc quan trọng</t>
  </si>
  <si>
    <t>THÔNG TIN</t>
  </si>
  <si>
    <t>HƯỚNG DẪN / THANG ĐIỂM</t>
  </si>
  <si>
    <t>ĐIỂM TUẦN</t>
  </si>
  <si>
    <t>CNPM1</t>
  </si>
  <si>
    <t>E1</t>
  </si>
  <si>
    <t>E2</t>
  </si>
  <si>
    <t>E3</t>
  </si>
  <si>
    <t>E4</t>
  </si>
  <si>
    <t>KH1</t>
  </si>
  <si>
    <t>KH2</t>
  </si>
  <si>
    <t>KH3</t>
  </si>
  <si>
    <t>KH4</t>
  </si>
  <si>
    <t>KH5</t>
  </si>
  <si>
    <t>KH6</t>
  </si>
  <si>
    <t>Sinh viên</t>
  </si>
  <si>
    <t>Tên thành viên của nhóm</t>
  </si>
  <si>
    <t>Nguyễn Quyết Thắng
Bùi Thị Nguyệt Ánh</t>
  </si>
  <si>
    <t>Lê Ngọc An
Dương Minh Quang</t>
  </si>
  <si>
    <t>Vũ Nam Dương
Trần Tuấn Cường</t>
  </si>
  <si>
    <t>Đỗ Văn Đức
Tăng Minh Quang</t>
  </si>
  <si>
    <t>Nguyễn Minh Đức Hải
Nguyễn Chí Quyền
Đỗ Tuấn Kiệt</t>
  </si>
  <si>
    <t>Vũ Văn Bình
Nguyễn Thành Trung</t>
  </si>
  <si>
    <t>Hoàng Ngọc Đức
Nguyễn Trường Giang</t>
  </si>
  <si>
    <t>Ngô Hoàng Nam
Nguyễn Duy Khánh</t>
  </si>
  <si>
    <t>Phan Minh Quân
Đinh Thị Ngọc Hà</t>
  </si>
  <si>
    <t>Lê Như Tùng
Nguyễn Đình Tiến</t>
  </si>
  <si>
    <t>Nguyễn Hoa Thanh Tùng
Trần Tiểu Long</t>
  </si>
  <si>
    <t>Đề tài</t>
  </si>
  <si>
    <t>Tên rút gọn để theo dõi</t>
  </si>
  <si>
    <t>Hệ thống phân phối giải thưởng tài sản qua quay số trực tuyến</t>
  </si>
  <si>
    <t>Phát hiện, phân loại và theo dõi UAV trong vùng trời sân bay bằng học sâu</t>
  </si>
  <si>
    <t>LMS thông minh tích hợp LLM tinh chỉnh và RAG</t>
  </si>
  <si>
    <t>Chatbot AI tra cứu và giải đáp pháp luật tiếng Việt bằng Agentic RAG</t>
  </si>
  <si>
    <t>Hệ thống học và luyện thi IELTS thông minh tích hợp AI và Knowledge Graph</t>
  </si>
  <si>
    <t>AI Agent thích nghi tự động hóa tác vụ Web dựa trên LLM và phân tích DOM</t>
  </si>
  <si>
    <t>AI Agent hỗ trợ theo dõi và chăm sóc bệnh nhân sau xuất viện</t>
  </si>
  <si>
    <t>Nền tảng du lịch thông minh dùng AI Agent, hệ gợi ý và kết nối bạn đồng hành</t>
  </si>
  <si>
    <t>Hệ thống thu thập và phân tích dữ liệu TMĐT với Spark, Hadoop/Kafka</t>
  </si>
  <si>
    <t>Web quản lý cửa hàng quần áo tích hợp visual search và thử đồ ảo</t>
  </si>
  <si>
    <t>Hệ thống quản lý hiệu thuốc ứng dụng trí tuệ nhân tạo</t>
  </si>
  <si>
    <t>Trọng tâm riêng</t>
  </si>
  <si>
    <t>Tiêu chí chuyên môn ưu tiên xuyên suốt</t>
  </si>
  <si>
    <t>Quy trình nghiệp vụ, CSDL, QR payment mô phỏng, cơ chế quay số/audit, kiểm thử bảo mật &amp; end-to-end.</t>
  </si>
  <si>
    <t>Dataset/annotation, object detection, tracking, geofencing, mAP–tracking metrics–FPS, tối ưu suy luận thời gian thực.</t>
  </si>
  <si>
    <t>Corpus học tập, RAG baseline, QLoRA/fine-tuning, đánh giá retrieval/answer quality, citation, tích hợp LMS.</t>
  </si>
  <si>
    <t>Nguồn pháp luật, retrieval/reranking, Agentic RAG, kiểm chứng citation/hallucination, benchmark QA pháp luật.</t>
  </si>
  <si>
    <t>IELTS ontology/KG, Writing/Speaking assessment, learner profile, recommendation, đánh giá theo band descriptors.</t>
  </si>
  <si>
    <t>Benchmark tác vụ, CSS/XPath baseline, Playwright agent, DOM mutation, self-healing, success rate–latency–cost.</t>
  </si>
  <si>
    <t>Dữ liệu mô phỏng, care-plan/RAG, check-in, screening rules, escalation, guardrails an toàn, đánh giá kịch bản.</t>
  </si>
  <si>
    <t>POI/review data, recommender, itinerary agent, matching, RAG, social/trip features, đánh giá recommendation.</t>
  </si>
  <si>
    <t>Crawler, Kafka, Spark, ClickHouse, dedup/data quality, dashboard, throughput/latency/load test.</t>
  </si>
  <si>
    <t>Fashion dataset, CLIP visual search, CAT-VTON/virtual try-on, retrieval metrics, image quality, tích hợp e-commerce.</t>
  </si>
  <si>
    <t>Nghiệp vụ nhà thuốc/GPP, dữ liệu thuốc, RAG/semantic search, interaction safety, AI modules ưu tiên, kiểm thử nghiệp vụ.</t>
  </si>
  <si>
    <t>QUY TẮC TRẠNG THÁI ĐỒ ÁN THEO TUẦN</t>
  </si>
  <si>
    <t>GREEN: ≥8/10 + nộp đúng hạn + đạt mốc tuần</t>
  </si>
  <si>
    <t>YELLOW: 6–&lt;8/10 hoặc còn thiếu một phần mốc tuần</t>
  </si>
  <si>
    <t>RED: &lt;6/10, không nộp, hoặc không đạt mốc chính</t>
  </si>
  <si>
    <t>W1
27/09 – 03/10</t>
  </si>
  <si>
    <t>Mốc chuyên môn của tuần</t>
  </si>
  <si>
    <t>-</t>
  </si>
  <si>
    <t>Chốt scope, actor, use case; xác định rõ mô phỏng thanh toán/quay số.</t>
  </si>
  <si>
    <t>Xác định classes, metric, nguồn dataset; quy tắc annotation và train/val/test.</t>
  </si>
  <si>
    <t>Chốt use case LMS + AI; xác định corpus, benchmark câu hỏi và tiêu chí đánh giá.</t>
  </si>
  <si>
    <t>Chốt phạm vi pháp luật, nguồn văn bản, benchmark câu hỏi và policy citation.</t>
  </si>
  <si>
    <t>Chốt scope IELTS, learner model, ontology và metric đánh giá từng module.</t>
  </si>
  <si>
    <t>Định nghĩa benchmark tác vụ Web, site thử nghiệm và các loại DOM mutation.</t>
  </si>
  <si>
    <t>Chốt phạm vi chăm sóc; tạo schema dữ liệu bệnh nhân/care plan mô phỏng + safety rules.</t>
  </si>
  <si>
    <t>Chốt MVP, personas, nguồn POI/review và metric recommender/matching.</t>
  </si>
  <si>
    <t>Chốt phạm vi dữ liệu TMĐT, nguồn crawl hợp lệ, schema raw/curated và KPI pipeline.</t>
  </si>
  <si>
    <t>Chốt loại trang phục/MVP; nguồn fashion dataset; metric visual search/try-on.</t>
  </si>
  <si>
    <t>Chốt MVP nghiệp vụ nhà thuốc và chỉ 2–3 module AI ưu tiên; xác định dữ liệu/nguồn.</t>
  </si>
  <si>
    <t>1. Submit đúng hạn</t>
  </si>
  <si>
    <t>0–1</t>
  </si>
  <si>
    <t>2. Đủ nội dung + evidence</t>
  </si>
  <si>
    <t>0–2</t>
  </si>
  <si>
    <t>3. Bám sát deadline / deliverable</t>
  </si>
  <si>
    <t>4. GitHub + phân chia công việc</t>
  </si>
  <si>
    <t>5. Chất lượng chuyên môn / báo cáo</t>
  </si>
  <si>
    <t>6. Tiêu chí chuyên môn riêng</t>
  </si>
  <si>
    <t>TỔNG ĐIỂM &amp; TRẠNG THÁI</t>
  </si>
  <si>
    <t>0–10</t>
  </si>
  <si>
    <t>Nhận xét GVHD / việc phải sửa</t>
  </si>
  <si>
    <t>W2
04/10 – 10/10</t>
  </si>
  <si>
    <t>Hoàn thiện SRS, UML chính, ERD và quy tắc nghiệp vụ.</t>
  </si>
  <si>
    <t>Thu thập/chuẩn hóa dataset; thống kê lớp và chất lượng nhãn.</t>
  </si>
  <si>
    <t>Thu thập/làm sạch tài liệu; chunking, metadata, train/val/eval set.</t>
  </si>
  <si>
    <t>Thu thập/chuẩn hóa văn bản; version/effective date metadata; chunking.</t>
  </si>
  <si>
    <t>Thiết kế Knowledge Graph: node/edge/schema; nhập seed knowledge từ nguồn hợp lệ.</t>
  </si>
  <si>
    <t>Xây baseline CSS Selector/XPath + Playwright; đo success rate ban đầu.</t>
  </si>
  <si>
    <t>Tạo bộ care plan và scenario mô phỏng; nguồn guideline công khai + metadata.</t>
  </si>
  <si>
    <t>Thu thập/chuẩn hóa POI, review, user preference synthetic/public.</t>
  </si>
  <si>
    <t>Xây crawler prototype + rate limit/retry; lưu raw sample.</t>
  </si>
  <si>
    <t>Chuẩn hóa ảnh sản phẩm/người; split và metadata.</t>
  </si>
  <si>
    <t>Thiết kế DB thuốc–lô–đơn–kho; dữ liệu mẫu và quy tắc nghiệp vụ.</t>
  </si>
  <si>
    <t>W3
11/10 – 17/10</t>
  </si>
  <si>
    <t>Dựng repo, CI cơ bản; auth/role + skeleton backend/frontend.</t>
  </si>
  <si>
    <t>Train baseline detector; lưu config, weights, mAP/PR curve.</t>
  </si>
  <si>
    <t>Xây RAG baseline với embedding + FAISS; đo retrieval Recall@k/MRR.</t>
  </si>
  <si>
    <t>Xây vector store Qdrant + retrieval baseline; Recall@k/MRR.</t>
  </si>
  <si>
    <t>Xây core LMS: course/lesson/exercise/submission + DB.</t>
  </si>
  <si>
    <t>Xây agent hiểu yêu cầu và lập kế hoạch thao tác browser.</t>
  </si>
  <si>
    <t>Xây RAG trên hướng dẫn chăm sóc; citation và rule ưu tiên.</t>
  </si>
  <si>
    <t>Xây core travel app + trip/POI/review schema.</t>
  </si>
  <si>
    <t>Thiết kế Kafka topics/partition/key; producer/consumer demo.</t>
  </si>
  <si>
    <t>Xây CLIP embedding/index + visual/text search baseline.</t>
  </si>
  <si>
    <t>Xây core inventory/sales/batch/FIFO + role; unit tests.</t>
  </si>
  <si>
    <t>W4
18/10 – 24/10</t>
  </si>
  <si>
    <t>CRUD giải thưởng/chương trình quay số; DB migration + test.</t>
  </si>
  <si>
    <t>Tuning detector + augmentation; so sánh baseline.</t>
  </si>
  <si>
    <t>Tích hợp LLM sinh câu trả lời có citation; bộ test factuality.</t>
  </si>
  <si>
    <t>Thử multi-query + RRF; so sánh với baseline.</t>
  </si>
  <si>
    <t>Writing: chuẩn bị rubric/test set; baseline chấm/feedback bằng LLM.</t>
  </si>
  <si>
    <t>Thiết kế biểu diễn DOM/semantic element matching.</t>
  </si>
  <si>
    <t>Xây check-in/reminder/care-plan tracker + lịch.</t>
  </si>
  <si>
    <t>Xây recommender baseline content-based/collaborative phù hợp dữ liệu.</t>
  </si>
  <si>
    <t>Spark preprocessing + schema validation; batch/micro-batch skeleton.</t>
  </si>
  <si>
    <t>Đánh giá retrieval Recall@K/mAP hoặc metric phù hợp; phân tích lỗi.</t>
  </si>
  <si>
    <t>Chuẩn bị corpus thuốc/hướng dẫn + semantic index/RAG baseline.</t>
  </si>
  <si>
    <t>W5
25/10 – 31/10</t>
  </si>
  <si>
    <t>Phát hành số dự thưởng, giỏ/đơn hàng, kiểm soát trùng/trạng thái.</t>
  </si>
  <si>
    <t>Tích hợp tracker (ByteTrack/DeepSORT); video test có ID ổn định.</t>
  </si>
  <si>
    <t>Chuẩn bị instruction dataset cho QLoRA; kiểm tra chất lượng mẫu.</t>
  </si>
  <si>
    <t>Thêm cross-encoder reranking; đánh giá retrieval.</t>
  </si>
  <si>
    <t>Speaking: pipeline audio→text + feature/LLM feedback; test mẫu.</t>
  </si>
  <si>
    <t>Tạo bộ mutation: đổi id/class/text/order/structure; version benchmark.</t>
  </si>
  <si>
    <t>Xây symptom screener rule-based và risk levels; không chẩn đoán.</t>
  </si>
  <si>
    <t>Đánh giá recommender offline/case study; phân tích cold-start.</t>
  </si>
  <si>
    <t>Thiết kế ClickHouse fact/dimension; ingest curated data.</t>
  </si>
  <si>
    <t>Cài đặt CAT-VTON/virtual try-on baseline; chuẩn hóa preprocessing.</t>
  </si>
  <si>
    <t>Xây cảnh báo tương tác/chống chỉ định theo rule/KG ở phạm vi đã chọn.</t>
  </si>
  <si>
    <t>W6
01/11 – 07/11</t>
  </si>
  <si>
    <t>Thanh toán QR mô phỏng; idempotency và log giao dịch.</t>
  </si>
  <si>
    <t>Thiết kế vùng cấm/geofence + cảnh báo theo trajectory.</t>
  </si>
  <si>
    <t>Fine-tune/QLoRA thử nghiệm nhỏ; lưu config/checkpoint/log.</t>
  </si>
  <si>
    <t>Xây Planner/router + luồng lựa chọn tool/retrieval.</t>
  </si>
  <si>
    <t>Xây learner profile từ kết quả Writing/Speaking; cập nhật KG.</t>
  </si>
  <si>
    <t>Xây self-healing selector bằng DOM + similarity.</t>
  </si>
  <si>
    <t>Xây escalation workflow + non-response handling.</t>
  </si>
  <si>
    <t>Xây itinerary agent theo thời gian/ngân sách/sở thích.</t>
  </si>
  <si>
    <t>Khử trùng lặp/entity key + data quality rules; báo cáo lỗi.</t>
  </si>
  <si>
    <t>Chạy try-on tập mẫu; lưu input/output, failure cases.</t>
  </si>
  <si>
    <t>Tích hợp semantic search/RAG vào quy trình dược sĩ; citation.</t>
  </si>
  <si>
    <t>W7
08/11 – 14/11</t>
  </si>
  <si>
    <t>Cơ chế quay số: random, điều kiện hợp lệ, lưu vết/audit; test.</t>
  </si>
  <si>
    <t>Bổ sung hard negatives (chim/máy bay/bóng); phân tích lỗi confusion.</t>
  </si>
  <si>
    <t>So sánh Base LLM vs RAG vs tuned+RAG trên cùng benchmark.</t>
  </si>
  <si>
    <t>Thêm Grader/Hallucination Checker; cơ chế abstain/citation.</t>
  </si>
  <si>
    <t>Recommendation/path reasoning trên KG; quy tắc prerequisite/weakness.</t>
  </si>
  <si>
    <t>Tích hợp LLM recovery khi heuristic thất bại; logging quyết định.</t>
  </si>
  <si>
    <t>Thêm agent orchestration/guardrails; audit log mọi hành động.</t>
  </si>
  <si>
    <t>RAG/tóm tắt review + grounding nguồn; test factuality.</t>
  </si>
  <si>
    <t>Tích hợp pipeline crawler→Kafka→Spark→ClickHouse end-to-end.</t>
  </si>
  <si>
    <t>Tối ưu/integrate try-on service API; latency và resource usage.</t>
  </si>
  <si>
    <t>Nếu chọn forecasting/OCR: xây baseline 1 module và dataset rõ ràng.</t>
  </si>
  <si>
    <t>W8
15/11 – 21/11</t>
  </si>
  <si>
    <t>Tích hợp end-to-end từ chương trình → mua số → quay → kết quả.</t>
  </si>
  <si>
    <t>Tích hợp pipeline video end-to-end; dashboard/log detection.</t>
  </si>
  <si>
    <t>Hoàn thiện LMS core: course/lesson/quiz/submission + AI assistant.</t>
  </si>
  <si>
    <t>Tích hợp chatbot web + SSE + history; end-to-end demo.</t>
  </si>
  <si>
    <t>Tích hợp end-to-end học→làm bài→đánh giá→cập nhật hồ sơ→gợi ý.</t>
  </si>
  <si>
    <t>End-to-end agent trên tập task; replay và deterministic checks.</t>
  </si>
  <si>
    <t>Tích hợp portal bệnh nhân + staff; end-to-end scenario.</t>
  </si>
  <si>
    <t>Xây companion matching + tiêu chí compatibility; privacy controls.</t>
  </si>
  <si>
    <t>Dashboard thị trường + dashboard kỹ thuật pipeline.</t>
  </si>
  <si>
    <t>Tích hợp web shop: product/search/cart + visual search + try-on.</t>
  </si>
  <si>
    <t>Tích hợp end-to-end bán hàng→kiểm tra an toàn→duyệt dược sĩ.</t>
  </si>
  <si>
    <t>W9
22/11 – 28/11</t>
  </si>
  <si>
    <t>Trang quản trị + quản lý người trúng; kiểm tra phân quyền.</t>
  </si>
  <si>
    <t>Tối ưu inference (resize/batch/TensorRT nếu có); đo FPS/latency.</t>
  </si>
  <si>
    <t>Guardrails, quyền truy cập tài liệu, chống lộ nội dung/citation sai.</t>
  </si>
  <si>
    <t>Thiết kế bộ QA có ground truth/căn cứ pháp lý; đánh giá factuality/citation.</t>
  </si>
  <si>
    <t>Đánh giá Writing/Speaking so với nhãn/giáo viên hoặc bộ chuẩn phù hợp.</t>
  </si>
  <si>
    <t>So sánh CSS/XPath vs heuristic vs LLM recovery: success/recovery rate.</t>
  </si>
  <si>
    <t>Thiết kế benchmark safety: flags cảnh báo, false reassurance, out-of-scope.</t>
  </si>
  <si>
    <t>Tích hợp social/trip/chat hoặc safety check-in theo MVP đã chốt.</t>
  </si>
  <si>
    <t>Load test: throughput, consumer lag, processing latency.</t>
  </si>
  <si>
    <t>Đánh giá chất lượng try-on bằng metric khả dụng + user/case review.</t>
  </si>
  <si>
    <t>Thiết kế benchmark nghiệp vụ + AI safety; test interaction/contraindication cases.</t>
  </si>
  <si>
    <t>W10
29/11 – 05/12</t>
  </si>
  <si>
    <t>Kiểm thử chức năng, lỗi cạnh biên, concurrent purchase/race condition.</t>
  </si>
  <si>
    <t>Đánh giá detection + tracking trên test set; mAP, IDF1/MOTA hoặc metric phù hợp.</t>
  </si>
  <si>
    <t>Tối ưu retrieval/rerank hoặc prompt; phân tích lỗi.</t>
  </si>
  <si>
    <t>Phân tích hallucination, lỗi retrieval; tối ưu prompt/rerank.</t>
  </si>
  <si>
    <t>Đánh giá recommendation/KG bằng case study + consistency.</t>
  </si>
  <si>
    <t>Đo latency, token/cost, số bước; phân tích failure modes.</t>
  </si>
  <si>
    <t>Đánh giá recall cảnh báo, escalation correctness, citation quality.</t>
  </si>
  <si>
    <t>End-to-end: khám phá→gợi ý→lịch trình→nhóm chuyến đi.</t>
  </si>
  <si>
    <t>Fault/restart/replay test; kiểm tra mất/trùng dữ liệu.</t>
  </si>
  <si>
    <t>Kiểm thử edge cases về pose, garment type, ảnh nền.</t>
  </si>
  <si>
    <t>Đánh giá AI module bằng metric phù hợp; phân tích false positive/negative.</t>
  </si>
  <si>
    <t>W11
06/12 – 12/12</t>
  </si>
  <si>
    <t>Kiểm thử bảo mật cơ bản; logging, backup; feature freeze.</t>
  </si>
  <si>
    <t>Robustness theo điều kiện khó; feature freeze + bộ benchmark cố định.</t>
  </si>
  <si>
    <t>Feature freeze; chạy benchmark đầy đủ về quality/latency/cost.</t>
  </si>
  <si>
    <t>Web-search fallback có kiểm soát; feature freeze + security check.</t>
  </si>
  <si>
    <t>Feature freeze; kiểm thử quyền, dữ liệu cá nhân, lỗi edge cases.</t>
  </si>
  <si>
    <t>Robustness trên mutation mới; feature freeze + benchmark cố định.</t>
  </si>
  <si>
    <t>Privacy/access control + feature freeze; kiểm thử adverse scenarios.</t>
  </si>
  <si>
    <t>Feature freeze; đánh giá recommendation/matching/agent quality.</t>
  </si>
  <si>
    <t>Feature freeze; chốt dataset snapshot và benchmark pipeline.</t>
  </si>
  <si>
    <t>Feature freeze; benchmark search + try-on + end-to-end.</t>
  </si>
  <si>
    <t>Feature freeze; audit log, phân quyền, backup và test edge cases.</t>
  </si>
  <si>
    <t>W12
13/12 – 19/12</t>
  </si>
  <si>
    <t>Đo hiệu năng, sửa lỗi; hoàn thiện test report và deployment.</t>
  </si>
  <si>
    <t>Hoàn thiện thực nghiệm, ablation/so sánh; sửa lỗi hệ thống.</t>
  </si>
  <si>
    <t>Triển khai thử nghiệm; test integration, load nhẹ, reproducibility.</t>
  </si>
  <si>
    <t>Chạy benchmark đầy đủ quality/latency/cost; hoàn thiện test report.</t>
  </si>
  <si>
    <t>Tối ưu UX/latency; hoàn thiện dashboard tiến bộ học viên.</t>
  </si>
  <si>
    <t>Tối ưu policy/retry; chạy experiment lặp lại để kiểm tra ổn định.</t>
  </si>
  <si>
    <t>Chạy test scenario đầy đủ; sửa lỗi và hoàn thiện documentation.</t>
  </si>
  <si>
    <t>Tối ưu latency/UX; test các constraint ngân sách/thời gian.</t>
  </si>
  <si>
    <t>Tối ưu query/partition/batch; hoàn thiện performance report.</t>
  </si>
  <si>
    <t>Tối ưu cache/deploy; hoàn thiện test và UX.</t>
  </si>
  <si>
    <t>Tối ưu hiệu năng/UX; hoàn thiện test report.</t>
  </si>
  <si>
    <t>W13
20/12 – 26/12</t>
  </si>
  <si>
    <t>Demo rehearsal; hoàn thiện báo cáo, hình/biểu đồ, hướng dẫn cài đặt.</t>
  </si>
  <si>
    <t>Demo rehearsal + báo cáo kết quả, biểu đồ, limitations.</t>
  </si>
  <si>
    <t>Demo rehearsal + hoàn thiện chương thực nghiệm và tài liệu cài đặt.</t>
  </si>
  <si>
    <t>Demo rehearsal + báo cáo phương pháp/thực nghiệm/limitations.</t>
  </si>
  <si>
    <t>Demo rehearsal + hoàn thiện kết quả, biểu đồ, limitations.</t>
  </si>
  <si>
    <t>Demo rehearsal + chương thực nghiệm, bảng so sánh, limitations.</t>
  </si>
  <si>
    <t>Demo rehearsal + báo cáo safety/limitations/ethics.</t>
  </si>
  <si>
    <t>Demo rehearsal + report evaluation, case studies, limitations.</t>
  </si>
  <si>
    <t>Demo rehearsal + báo cáo kiến trúc/kết quả/limitations.</t>
  </si>
  <si>
    <t>Demo rehearsal + report quantitative/qualitative results.</t>
  </si>
  <si>
    <t>Demo rehearsal + báo cáo scope, evaluation, safety/limitations.</t>
  </si>
  <si>
    <t>W14
27/12 – 31/12</t>
  </si>
  <si>
    <t>Release cuối, tag source, video demo, đối soát toàn bộ deliverable.</t>
  </si>
  <si>
    <t>Release cuối: model, config, dataset manifest, demo video, report.</t>
  </si>
  <si>
    <t>Release cuối: code, model adapter, corpus manifest, benchmark, report.</t>
  </si>
  <si>
    <t>Release cuối: corpus manifest, benchmark, code, Docker, report.</t>
  </si>
  <si>
    <t>Release cuối: KG dump/schema, code, test set, demo, report.</t>
  </si>
  <si>
    <t>Release cuối: benchmark, scripts, results CSV, code, demo, report.</t>
  </si>
  <si>
    <t>Release cuối: synthetic dataset, scenarios, code, Docker, report.</t>
  </si>
  <si>
    <t>Release cuối: dataset manifest, code, demo, results, report.</t>
  </si>
  <si>
    <t>Release cuối: Docker/config, sample data, metrics, dashboard, report.</t>
  </si>
  <si>
    <t>Release cuối: demo dataset, model config, code, video, report.</t>
  </si>
  <si>
    <t>Release cuối: sample data, rules/corpus manifest, code, demo, report.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</si>
</sst>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17">
    <font>
      <sz val="11.0"/>
      <color rgb="FF000000"/>
      <name val="Carlito"/>
      <scheme val="minor"/>
    </font>
    <font>
      <b/>
      <sz val="15.0"/>
      <color rgb="FFFFFFFF"/>
      <name val="Carlito"/>
    </font>
    <font>
      <color theme="1"/>
      <name val="Carlito"/>
      <scheme val="minor"/>
    </font>
    <font>
      <i/>
      <sz val="10.0"/>
      <color rgb="FF1F2937"/>
      <name val="Carlito"/>
    </font>
    <font>
      <b/>
      <sz val="10.0"/>
      <color rgb="FFFFFFFF"/>
      <name val="Carlito"/>
    </font>
    <font>
      <sz val="10.0"/>
      <color theme="1"/>
      <name val="Carlito"/>
      <scheme val="minor"/>
    </font>
    <font>
      <b/>
      <sz val="11.0"/>
      <color rgb="FF1F2937"/>
      <name val="Carlito"/>
    </font>
    <font>
      <sz val="10.0"/>
      <color theme="1"/>
      <name val="Carlito"/>
    </font>
    <font>
      <b/>
      <sz val="11.0"/>
      <color rgb="FFFFFFFF"/>
      <name val="Carlito"/>
    </font>
    <font>
      <b/>
      <sz val="11.0"/>
      <color rgb="FF006100"/>
      <name val="Carlito"/>
    </font>
    <font>
      <b/>
      <sz val="11.0"/>
      <color rgb="FF9C6500"/>
      <name val="Carlito"/>
    </font>
    <font>
      <b/>
      <sz val="11.0"/>
      <color rgb="FF9C0006"/>
      <name val="Carlito"/>
    </font>
    <font/>
    <font>
      <sz val="11.0"/>
      <color theme="1"/>
      <name val="Carlito"/>
    </font>
    <font>
      <b/>
      <sz val="10.0"/>
      <color rgb="FF1F2937"/>
      <name val="Carlito"/>
    </font>
    <font>
      <sz val="11.0"/>
      <color rgb="FF1F2937"/>
      <name val="Carlito"/>
    </font>
    <font>
      <i/>
      <sz val="11.0"/>
      <color rgb="FF1F2937"/>
      <name val="Carlito"/>
    </font>
  </fonts>
  <fills count="13">
    <fill>
      <patternFill patternType="none"/>
    </fill>
    <fill>
      <patternFill patternType="lightGray"/>
    </fill>
    <fill>
      <patternFill patternType="solid">
        <fgColor rgb="FF1F4E78"/>
        <bgColor rgb="FF1F4E78"/>
      </patternFill>
    </fill>
    <fill>
      <patternFill patternType="solid">
        <fgColor rgb="FFEAF3F8"/>
        <bgColor rgb="FFEAF3F8"/>
      </patternFill>
    </fill>
    <fill>
      <patternFill patternType="solid">
        <fgColor rgb="FFF3F4F6"/>
        <bgColor rgb="FFF3F4F6"/>
      </patternFill>
    </fill>
    <fill>
      <patternFill patternType="solid">
        <fgColor rgb="FFC6EFCE"/>
        <bgColor rgb="FFC6EFCE"/>
      </patternFill>
    </fill>
    <fill>
      <patternFill patternType="solid">
        <fgColor rgb="FFFFEB9C"/>
        <bgColor rgb="FFFFEB9C"/>
      </patternFill>
    </fill>
    <fill>
      <patternFill patternType="solid">
        <fgColor rgb="FFFFC7CE"/>
        <bgColor rgb="FFFFC7CE"/>
      </patternFill>
    </fill>
    <fill>
      <patternFill patternType="solid">
        <fgColor rgb="FFD9EAF7"/>
        <bgColor rgb="FFD9EAF7"/>
      </patternFill>
    </fill>
    <fill>
      <patternFill patternType="solid">
        <fgColor rgb="FFE8F1FB"/>
        <bgColor rgb="FFE8F1FB"/>
      </patternFill>
    </fill>
    <fill>
      <patternFill patternType="solid">
        <fgColor rgb="FFFFF7D6"/>
        <bgColor rgb="FFFFF7D6"/>
      </patternFill>
    </fill>
    <fill>
      <patternFill patternType="solid">
        <fgColor rgb="FFE2E8F0"/>
        <bgColor rgb="FFE2E8F0"/>
      </patternFill>
    </fill>
    <fill>
      <patternFill patternType="solid">
        <fgColor rgb="FFF8F9FA"/>
        <bgColor rgb="FFF8F9FA"/>
      </patternFill>
    </fill>
  </fills>
  <borders count="9">
    <border/>
    <border>
      <left style="thin">
        <color rgb="FFB7C1CC"/>
      </left>
      <top style="thin">
        <color rgb="FFB7C1CC"/>
      </top>
    </border>
    <border>
      <top style="thin">
        <color rgb="FFB7C1CC"/>
      </top>
    </border>
    <border>
      <right style="thin">
        <color rgb="FFB7C1CC"/>
      </right>
      <top style="thin">
        <color rgb="FFB7C1CC"/>
      </top>
    </border>
    <border>
      <left style="thin">
        <color rgb="FFB7C1CC"/>
      </left>
    </border>
    <border>
      <right style="thin">
        <color rgb="FFB7C1CC"/>
      </right>
    </border>
    <border>
      <left style="thin">
        <color rgb="FFB7C1CC"/>
      </left>
      <bottom style="thin">
        <color rgb="FFB7C1CC"/>
      </bottom>
    </border>
    <border>
      <bottom style="thin">
        <color rgb="FFB7C1CC"/>
      </bottom>
    </border>
    <border>
      <right style="thin">
        <color rgb="FFB7C1CC"/>
      </right>
      <bottom style="thin">
        <color rgb="FFB7C1CC"/>
      </bottom>
    </border>
  </borders>
  <cellStyleXfs count="1">
    <xf borderId="0" fillId="0" fontId="0" numFmtId="0" applyAlignment="1" applyFont="1"/>
  </cellStyleXfs>
  <cellXfs count="48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center" readingOrder="0" vertical="center"/>
    </xf>
    <xf borderId="0" fillId="0" fontId="2" numFmtId="0" xfId="0" applyAlignment="1" applyFont="1">
      <alignment vertical="center"/>
    </xf>
    <xf borderId="0" fillId="3" fontId="3" numFmtId="0" xfId="0" applyAlignment="1" applyFill="1" applyFont="1">
      <alignment readingOrder="0" shrinkToFit="0" vertical="center" wrapText="1"/>
    </xf>
    <xf borderId="1" fillId="2" fontId="4" numFmtId="0" xfId="0" applyAlignment="1" applyBorder="1" applyFill="1" applyFont="1">
      <alignment horizontal="center" shrinkToFit="0" vertical="center" wrapText="1"/>
    </xf>
    <xf borderId="2" fillId="2" fontId="4" numFmtId="0" xfId="0" applyAlignment="1" applyBorder="1" applyFill="1" applyFont="1">
      <alignment horizontal="center" shrinkToFit="0" vertical="center" wrapText="1"/>
    </xf>
    <xf borderId="2" fillId="2" fontId="4" numFmtId="0" xfId="0" applyAlignment="1" applyBorder="1" applyFill="1" applyFont="1">
      <alignment horizontal="center" readingOrder="0" shrinkToFit="0" vertical="center" wrapText="1"/>
    </xf>
    <xf borderId="3" fillId="2" fontId="4" numFmtId="0" xfId="0" applyAlignment="1" applyBorder="1" applyFill="1" applyFont="1">
      <alignment horizontal="center" shrinkToFit="0" vertical="center" wrapText="1"/>
    </xf>
    <xf borderId="0" fillId="0" fontId="5" numFmtId="0" xfId="0" applyAlignment="1" applyFont="1">
      <alignment vertical="center"/>
    </xf>
    <xf borderId="4" fillId="4" fontId="6" numFmtId="0" xfId="0" applyAlignment="1" applyBorder="1" applyFill="1" applyFont="1">
      <alignment shrinkToFit="0" vertical="center" wrapText="1"/>
    </xf>
    <xf borderId="0" fillId="4" fontId="6" numFmtId="0" xfId="0" applyAlignment="1" applyFill="1" applyFont="1">
      <alignment shrinkToFit="0" vertical="center" wrapText="1"/>
    </xf>
    <xf borderId="0" fillId="4" fontId="6" numFmtId="0" xfId="0" applyAlignment="1" applyFill="1" applyFont="1">
      <alignment horizontal="center" shrinkToFit="0" vertical="center" wrapText="1"/>
    </xf>
    <xf borderId="0" fillId="0" fontId="7" numFmtId="0" xfId="0" applyAlignment="1" applyFont="1">
      <alignment horizontal="left" shrinkToFit="0" vertical="center" wrapText="1"/>
    </xf>
    <xf borderId="5" fillId="0" fontId="7" numFmtId="0" xfId="0" applyAlignment="1" applyBorder="1" applyFont="1">
      <alignment horizontal="left" shrinkToFit="0" vertical="center" wrapText="1"/>
    </xf>
    <xf borderId="0" fillId="4" fontId="6" numFmtId="0" xfId="0" applyAlignment="1" applyFill="1" applyFont="1">
      <alignment readingOrder="0" shrinkToFit="0" vertical="center" wrapText="1"/>
    </xf>
    <xf borderId="4" fillId="2" fontId="8" numFmtId="0" xfId="0" applyAlignment="1" applyBorder="1" applyFill="1" applyFont="1">
      <alignment horizontal="center" readingOrder="0" shrinkToFit="0" vertical="center" wrapText="1"/>
    </xf>
    <xf borderId="0" fillId="5" fontId="9" numFmtId="0" xfId="0" applyAlignment="1" applyFill="1" applyFont="1">
      <alignment shrinkToFit="0" vertical="center" wrapText="1"/>
    </xf>
    <xf borderId="0" fillId="6" fontId="10" numFmtId="0" xfId="0" applyAlignment="1" applyFill="1" applyFont="1">
      <alignment shrinkToFit="0" vertical="center" wrapText="1"/>
    </xf>
    <xf borderId="0" fillId="7" fontId="11" numFmtId="0" xfId="0" applyAlignment="1" applyFill="1" applyFont="1">
      <alignment shrinkToFit="0" vertical="center" wrapText="1"/>
    </xf>
    <xf borderId="5" fillId="0" fontId="12" numFmtId="0" xfId="0" applyBorder="1" applyFont="1"/>
    <xf borderId="4" fillId="0" fontId="13" numFmtId="0" xfId="0" applyAlignment="1" applyBorder="1" applyFont="1">
      <alignment shrinkToFit="0" vertical="center" wrapText="1"/>
    </xf>
    <xf borderId="0" fillId="0" fontId="13" numFmtId="0" xfId="0" applyAlignment="1" applyFont="1">
      <alignment shrinkToFit="0" vertical="center" wrapText="1"/>
    </xf>
    <xf borderId="0" fillId="0" fontId="13" numFmtId="0" xfId="0" applyAlignment="1" applyFont="1">
      <alignment horizontal="center" shrinkToFit="0" vertical="center" wrapText="1"/>
    </xf>
    <xf borderId="5" fillId="0" fontId="13" numFmtId="0" xfId="0" applyAlignment="1" applyBorder="1" applyFont="1">
      <alignment shrinkToFit="0" vertical="center" wrapText="1"/>
    </xf>
    <xf borderId="4" fillId="8" fontId="14" numFmtId="0" xfId="0" applyAlignment="1" applyBorder="1" applyFill="1" applyFont="1">
      <alignment horizontal="center" readingOrder="0" shrinkToFit="0" vertical="center" wrapText="1"/>
    </xf>
    <xf borderId="0" fillId="9" fontId="14" numFmtId="0" xfId="0" applyAlignment="1" applyFill="1" applyFont="1">
      <alignment shrinkToFit="0" vertical="center" wrapText="1"/>
    </xf>
    <xf borderId="0" fillId="9" fontId="14" numFmtId="0" xfId="0" applyAlignment="1" applyFill="1" applyFont="1">
      <alignment horizontal="center" shrinkToFit="0" vertical="center" wrapText="1"/>
    </xf>
    <xf borderId="0" fillId="9" fontId="14" numFmtId="0" xfId="0" applyAlignment="1" applyFill="1" applyFont="1">
      <alignment horizontal="left" shrinkToFit="0" vertical="center" wrapText="1"/>
    </xf>
    <xf borderId="5" fillId="9" fontId="14" numFmtId="0" xfId="0" applyAlignment="1" applyBorder="1" applyFill="1" applyFont="1">
      <alignment horizontal="left" shrinkToFit="0" vertical="center" wrapText="1"/>
    </xf>
    <xf borderId="4" fillId="8" fontId="6" numFmtId="0" xfId="0" applyAlignment="1" applyBorder="1" applyFill="1" applyFont="1">
      <alignment horizontal="center" shrinkToFit="0" vertical="center" wrapText="1"/>
    </xf>
    <xf borderId="0" fillId="10" fontId="15" numFmtId="0" xfId="0" applyAlignment="1" applyFill="1" applyFont="1">
      <alignment shrinkToFit="0" vertical="center" wrapText="1"/>
    </xf>
    <xf borderId="0" fillId="10" fontId="15" numFmtId="0" xfId="0" applyAlignment="1" applyFill="1" applyFont="1">
      <alignment horizontal="center" shrinkToFit="0" vertical="center" wrapText="1"/>
    </xf>
    <xf borderId="5" fillId="10" fontId="15" numFmtId="0" xfId="0" applyAlignment="1" applyBorder="1" applyFill="1" applyFont="1">
      <alignment horizontal="center" shrinkToFit="0" vertical="center" wrapText="1"/>
    </xf>
    <xf borderId="0" fillId="11" fontId="6" numFmtId="0" xfId="0" applyAlignment="1" applyFill="1" applyFont="1">
      <alignment shrinkToFit="0" vertical="center" wrapText="1"/>
    </xf>
    <xf borderId="0" fillId="11" fontId="6" numFmtId="0" xfId="0" applyAlignment="1" applyFill="1" applyFont="1">
      <alignment horizontal="center" shrinkToFit="0" vertical="center" wrapText="1"/>
    </xf>
    <xf borderId="5" fillId="11" fontId="6" numFmtId="0" xfId="0" applyAlignment="1" applyBorder="1" applyFill="1" applyFont="1">
      <alignment horizontal="center" shrinkToFit="0" vertical="center" wrapText="1"/>
    </xf>
    <xf borderId="0" fillId="12" fontId="16" numFmtId="0" xfId="0" applyAlignment="1" applyFill="1" applyFont="1">
      <alignment shrinkToFit="0" vertical="center" wrapText="1"/>
    </xf>
    <xf borderId="0" fillId="12" fontId="16" numFmtId="0" xfId="0" applyAlignment="1" applyFill="1" applyFont="1">
      <alignment horizontal="center" shrinkToFit="0" vertical="center" wrapText="1"/>
    </xf>
    <xf borderId="0" fillId="12" fontId="16" numFmtId="0" xfId="0" applyAlignment="1" applyFill="1" applyFont="1">
      <alignment horizontal="left" shrinkToFit="0" vertical="center" wrapText="1"/>
    </xf>
    <xf borderId="5" fillId="12" fontId="16" numFmtId="0" xfId="0" applyAlignment="1" applyBorder="1" applyFill="1" applyFont="1">
      <alignment horizontal="left" shrinkToFit="0" vertical="center" wrapText="1"/>
    </xf>
    <xf borderId="4" fillId="4" fontId="14" numFmtId="0" xfId="0" applyAlignment="1" applyBorder="1" applyFill="1" applyFont="1">
      <alignment horizontal="center" readingOrder="0" shrinkToFit="0" vertical="center" wrapText="1"/>
    </xf>
    <xf borderId="4" fillId="4" fontId="6" numFmtId="0" xfId="0" applyAlignment="1" applyBorder="1" applyFill="1" applyFont="1">
      <alignment horizontal="center" shrinkToFit="0" vertical="center" wrapText="1"/>
    </xf>
    <xf borderId="0" fillId="9" fontId="14" numFmtId="0" xfId="0" applyAlignment="1" applyFill="1" applyFont="1">
      <alignment horizontal="left" readingOrder="0" shrinkToFit="0" vertical="center" wrapText="1"/>
    </xf>
    <xf borderId="6" fillId="4" fontId="6" numFmtId="0" xfId="0" applyAlignment="1" applyBorder="1" applyFill="1" applyFont="1">
      <alignment horizontal="center" shrinkToFit="0" vertical="center" wrapText="1"/>
    </xf>
    <xf borderId="7" fillId="12" fontId="16" numFmtId="0" xfId="0" applyAlignment="1" applyBorder="1" applyFill="1" applyFont="1">
      <alignment shrinkToFit="0" vertical="center" wrapText="1"/>
    </xf>
    <xf borderId="7" fillId="12" fontId="16" numFmtId="0" xfId="0" applyAlignment="1" applyBorder="1" applyFill="1" applyFont="1">
      <alignment horizontal="center" shrinkToFit="0" vertical="center" wrapText="1"/>
    </xf>
    <xf borderId="7" fillId="12" fontId="16" numFmtId="0" xfId="0" applyAlignment="1" applyBorder="1" applyFill="1" applyFont="1">
      <alignment horizontal="left" shrinkToFit="0" vertical="center" wrapText="1"/>
    </xf>
    <xf borderId="8" fillId="12" fontId="16" numFmtId="0" xfId="0" applyAlignment="1" applyBorder="1" applyFill="1" applyFont="1">
      <alignment horizontal="left" shrinkToFit="0" vertical="center" wrapText="1"/>
    </xf>
  </cellXfs>
  <cellStyles count="1">
    <cellStyle xfId="0" name="Normal" builtinId="0"/>
  </cellStyles>
  <dxfs count="3">
    <dxf>
      <font>
        <b/>
        <color rgb="FF006100"/>
      </font>
      <fill>
        <patternFill patternType="solid">
          <fgColor rgb="FFC6EFCE"/>
          <bgColor rgb="FFC6EFCE"/>
        </patternFill>
      </fill>
      <border/>
    </dxf>
    <dxf>
      <font>
        <b/>
        <color rgb="FF9C6500"/>
      </font>
      <fill>
        <patternFill patternType="solid">
          <fgColor rgb="FFFFEB9C"/>
          <bgColor rgb="FFFFEB9C"/>
        </patternFill>
      </fill>
      <border/>
    </dxf>
    <dxf>
      <font>
        <b/>
        <color rgb="FF9C0006"/>
      </font>
      <fill>
        <patternFill patternType="solid">
          <fgColor rgb="FFFFC7CE"/>
          <bgColor rgb="FFFFC7CE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7.88"/>
    <col customWidth="1" min="2" max="2" width="29.13"/>
    <col customWidth="1" min="3" max="3" width="6.63"/>
    <col customWidth="1" min="4" max="4" width="16.13"/>
    <col customWidth="1" min="5" max="5" width="17.63"/>
    <col customWidth="1" min="6" max="6" width="18.38"/>
    <col customWidth="1" min="7" max="7" width="16.25"/>
    <col customWidth="1" min="8" max="8" width="19.88"/>
    <col customWidth="1" min="9" max="9" width="17.0"/>
    <col customWidth="1" min="10" max="10" width="19.13"/>
    <col customWidth="1" min="11" max="11" width="19.5"/>
    <col customWidth="1" min="12" max="12" width="18.13"/>
    <col customWidth="1" min="13" max="13" width="17.13"/>
    <col customWidth="1" min="14" max="14" width="18.13"/>
    <col customWidth="1" min="15" max="26" width="8.63"/>
  </cols>
  <sheetData>
    <row r="1">
      <c r="A1" s="1" t="s">
        <v>0</v>
      </c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ht="21.0" customHeight="1">
      <c r="A2" s="3" t="s">
        <v>1</v>
      </c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ht="24.0" customHeight="1">
      <c r="A3" s="4" t="s">
        <v>2</v>
      </c>
      <c r="B3" s="5" t="s">
        <v>3</v>
      </c>
      <c r="C3" s="6" t="s">
        <v>4</v>
      </c>
      <c r="D3" s="5" t="s">
        <v>5</v>
      </c>
      <c r="E3" s="5" t="s">
        <v>6</v>
      </c>
      <c r="F3" s="5" t="s">
        <v>7</v>
      </c>
      <c r="G3" s="5" t="s">
        <v>8</v>
      </c>
      <c r="H3" s="5" t="s">
        <v>9</v>
      </c>
      <c r="I3" s="5" t="s">
        <v>10</v>
      </c>
      <c r="J3" s="5" t="s">
        <v>11</v>
      </c>
      <c r="K3" s="5" t="s">
        <v>12</v>
      </c>
      <c r="L3" s="5" t="s">
        <v>13</v>
      </c>
      <c r="M3" s="5" t="s">
        <v>14</v>
      </c>
      <c r="N3" s="7" t="s">
        <v>15</v>
      </c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</row>
    <row r="4" ht="30.0" customHeight="1">
      <c r="A4" s="9" t="s">
        <v>16</v>
      </c>
      <c r="B4" s="10" t="s">
        <v>17</v>
      </c>
      <c r="C4" s="11"/>
      <c r="D4" s="12" t="s">
        <v>18</v>
      </c>
      <c r="E4" s="12" t="s">
        <v>19</v>
      </c>
      <c r="F4" s="12" t="s">
        <v>20</v>
      </c>
      <c r="G4" s="12" t="s">
        <v>21</v>
      </c>
      <c r="H4" s="12" t="s">
        <v>22</v>
      </c>
      <c r="I4" s="12" t="s">
        <v>23</v>
      </c>
      <c r="J4" s="12" t="s">
        <v>24</v>
      </c>
      <c r="K4" s="12" t="s">
        <v>25</v>
      </c>
      <c r="L4" s="12" t="s">
        <v>26</v>
      </c>
      <c r="M4" s="12" t="s">
        <v>27</v>
      </c>
      <c r="N4" s="13" t="s">
        <v>28</v>
      </c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ht="53.25" customHeight="1">
      <c r="A5" s="9" t="s">
        <v>29</v>
      </c>
      <c r="B5" s="10" t="s">
        <v>30</v>
      </c>
      <c r="C5" s="11"/>
      <c r="D5" s="12" t="s">
        <v>31</v>
      </c>
      <c r="E5" s="12" t="s">
        <v>32</v>
      </c>
      <c r="F5" s="12" t="s">
        <v>33</v>
      </c>
      <c r="G5" s="12" t="s">
        <v>34</v>
      </c>
      <c r="H5" s="12" t="s">
        <v>35</v>
      </c>
      <c r="I5" s="12" t="s">
        <v>36</v>
      </c>
      <c r="J5" s="12" t="s">
        <v>37</v>
      </c>
      <c r="K5" s="12" t="s">
        <v>38</v>
      </c>
      <c r="L5" s="12" t="s">
        <v>39</v>
      </c>
      <c r="M5" s="12" t="s">
        <v>40</v>
      </c>
      <c r="N5" s="13" t="s">
        <v>41</v>
      </c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ht="87.0" customHeight="1">
      <c r="A6" s="9" t="s">
        <v>42</v>
      </c>
      <c r="B6" s="14" t="s">
        <v>43</v>
      </c>
      <c r="C6" s="11"/>
      <c r="D6" s="12" t="s">
        <v>44</v>
      </c>
      <c r="E6" s="12" t="s">
        <v>45</v>
      </c>
      <c r="F6" s="12" t="s">
        <v>46</v>
      </c>
      <c r="G6" s="12" t="s">
        <v>47</v>
      </c>
      <c r="H6" s="12" t="s">
        <v>48</v>
      </c>
      <c r="I6" s="12" t="s">
        <v>49</v>
      </c>
      <c r="J6" s="12" t="s">
        <v>50</v>
      </c>
      <c r="K6" s="12" t="s">
        <v>51</v>
      </c>
      <c r="L6" s="12" t="s">
        <v>52</v>
      </c>
      <c r="M6" s="12" t="s">
        <v>53</v>
      </c>
      <c r="N6" s="13" t="s">
        <v>54</v>
      </c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>
      <c r="A7" s="15" t="s">
        <v>55</v>
      </c>
      <c r="D7" s="16" t="s">
        <v>56</v>
      </c>
      <c r="G7" s="17" t="s">
        <v>57</v>
      </c>
      <c r="K7" s="18" t="s">
        <v>58</v>
      </c>
      <c r="N7" s="19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>
      <c r="A8" s="20"/>
      <c r="B8" s="21"/>
      <c r="C8" s="22"/>
      <c r="D8" s="21"/>
      <c r="E8" s="21"/>
      <c r="F8" s="21"/>
      <c r="G8" s="21"/>
      <c r="H8" s="21"/>
      <c r="I8" s="21"/>
      <c r="J8" s="21"/>
      <c r="K8" s="21"/>
      <c r="L8" s="21"/>
      <c r="M8" s="21"/>
      <c r="N8" s="23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>
      <c r="A9" s="24" t="s">
        <v>59</v>
      </c>
      <c r="B9" s="25" t="s">
        <v>60</v>
      </c>
      <c r="C9" s="26" t="s">
        <v>61</v>
      </c>
      <c r="D9" s="27" t="s">
        <v>62</v>
      </c>
      <c r="E9" s="27" t="s">
        <v>63</v>
      </c>
      <c r="F9" s="27" t="s">
        <v>64</v>
      </c>
      <c r="G9" s="27" t="s">
        <v>65</v>
      </c>
      <c r="H9" s="27" t="s">
        <v>66</v>
      </c>
      <c r="I9" s="27" t="s">
        <v>67</v>
      </c>
      <c r="J9" s="27" t="s">
        <v>68</v>
      </c>
      <c r="K9" s="27" t="s">
        <v>69</v>
      </c>
      <c r="L9" s="27" t="s">
        <v>70</v>
      </c>
      <c r="M9" s="27" t="s">
        <v>71</v>
      </c>
      <c r="N9" s="28" t="s">
        <v>72</v>
      </c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</row>
    <row r="10" ht="21.75" customHeight="1">
      <c r="A10" s="29"/>
      <c r="B10" s="30" t="s">
        <v>73</v>
      </c>
      <c r="C10" s="31" t="s">
        <v>74</v>
      </c>
      <c r="D10" s="31"/>
      <c r="E10" s="31"/>
      <c r="F10" s="31"/>
      <c r="G10" s="31"/>
      <c r="H10" s="31"/>
      <c r="I10" s="31"/>
      <c r="J10" s="31"/>
      <c r="K10" s="31"/>
      <c r="L10" s="31"/>
      <c r="M10" s="31"/>
      <c r="N10" s="3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ht="21.75" customHeight="1">
      <c r="A11" s="29"/>
      <c r="B11" s="30" t="s">
        <v>75</v>
      </c>
      <c r="C11" s="31" t="s">
        <v>76</v>
      </c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ht="21.75" customHeight="1">
      <c r="A12" s="29"/>
      <c r="B12" s="30" t="s">
        <v>77</v>
      </c>
      <c r="C12" s="31" t="s">
        <v>76</v>
      </c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ht="21.75" customHeight="1">
      <c r="A13" s="29"/>
      <c r="B13" s="30" t="s">
        <v>78</v>
      </c>
      <c r="C13" s="31" t="s">
        <v>76</v>
      </c>
      <c r="D13" s="31"/>
      <c r="E13" s="31"/>
      <c r="F13" s="31"/>
      <c r="G13" s="31"/>
      <c r="H13" s="31"/>
      <c r="I13" s="31"/>
      <c r="J13" s="31"/>
      <c r="K13" s="31"/>
      <c r="L13" s="31"/>
      <c r="M13" s="31"/>
      <c r="N13" s="3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ht="21.75" customHeight="1">
      <c r="A14" s="29"/>
      <c r="B14" s="30" t="s">
        <v>79</v>
      </c>
      <c r="C14" s="31" t="s">
        <v>74</v>
      </c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ht="21.75" customHeight="1">
      <c r="A15" s="29"/>
      <c r="B15" s="30" t="s">
        <v>80</v>
      </c>
      <c r="C15" s="31" t="s">
        <v>76</v>
      </c>
      <c r="D15" s="31"/>
      <c r="E15" s="31"/>
      <c r="F15" s="31"/>
      <c r="G15" s="31"/>
      <c r="H15" s="31"/>
      <c r="I15" s="31"/>
      <c r="J15" s="31"/>
      <c r="K15" s="31"/>
      <c r="L15" s="31"/>
      <c r="M15" s="31"/>
      <c r="N15" s="3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>
      <c r="A16" s="29"/>
      <c r="B16" s="33" t="s">
        <v>81</v>
      </c>
      <c r="C16" s="34" t="s">
        <v>82</v>
      </c>
      <c r="D16" s="34" t="str">
        <f t="shared" ref="D16:N16" si="1">IF(COUNT(D10:D15)&lt;6,"",TEXT(SUM(D10:D15),"0.0")&amp;"/10 | "&amp;IF(OR(D10=0,D12=0,SUM(D10:D15)&lt;6),"RED",IF(AND(SUM(D10:D15)&gt;=8,D10=1,D12=2),"GREEN","YELLOW")))</f>
        <v/>
      </c>
      <c r="E16" s="34" t="str">
        <f t="shared" si="1"/>
        <v/>
      </c>
      <c r="F16" s="34" t="str">
        <f t="shared" si="1"/>
        <v/>
      </c>
      <c r="G16" s="34" t="str">
        <f t="shared" si="1"/>
        <v/>
      </c>
      <c r="H16" s="34" t="str">
        <f t="shared" si="1"/>
        <v/>
      </c>
      <c r="I16" s="34" t="str">
        <f t="shared" si="1"/>
        <v/>
      </c>
      <c r="J16" s="34" t="str">
        <f t="shared" si="1"/>
        <v/>
      </c>
      <c r="K16" s="34" t="str">
        <f t="shared" si="1"/>
        <v/>
      </c>
      <c r="L16" s="34" t="str">
        <f t="shared" si="1"/>
        <v/>
      </c>
      <c r="M16" s="34" t="str">
        <f t="shared" si="1"/>
        <v/>
      </c>
      <c r="N16" s="35" t="str">
        <f t="shared" si="1"/>
        <v/>
      </c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ht="33.0" customHeight="1">
      <c r="A17" s="29"/>
      <c r="B17" s="36" t="s">
        <v>83</v>
      </c>
      <c r="C17" s="37" t="s">
        <v>61</v>
      </c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9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ht="61.5" customHeight="1">
      <c r="A18" s="40" t="s">
        <v>84</v>
      </c>
      <c r="B18" s="25" t="s">
        <v>60</v>
      </c>
      <c r="C18" s="26" t="s">
        <v>61</v>
      </c>
      <c r="D18" s="27" t="s">
        <v>85</v>
      </c>
      <c r="E18" s="27" t="s">
        <v>86</v>
      </c>
      <c r="F18" s="27" t="s">
        <v>87</v>
      </c>
      <c r="G18" s="27" t="s">
        <v>88</v>
      </c>
      <c r="H18" s="27" t="s">
        <v>89</v>
      </c>
      <c r="I18" s="27" t="s">
        <v>90</v>
      </c>
      <c r="J18" s="27" t="s">
        <v>91</v>
      </c>
      <c r="K18" s="27" t="s">
        <v>92</v>
      </c>
      <c r="L18" s="27" t="s">
        <v>93</v>
      </c>
      <c r="M18" s="27" t="s">
        <v>94</v>
      </c>
      <c r="N18" s="28" t="s">
        <v>95</v>
      </c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</row>
    <row r="19" ht="21.75" customHeight="1">
      <c r="A19" s="41"/>
      <c r="B19" s="30" t="s">
        <v>73</v>
      </c>
      <c r="C19" s="31" t="s">
        <v>74</v>
      </c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ht="21.75" customHeight="1">
      <c r="A20" s="41"/>
      <c r="B20" s="30" t="s">
        <v>75</v>
      </c>
      <c r="C20" s="31" t="s">
        <v>76</v>
      </c>
      <c r="D20" s="31"/>
      <c r="E20" s="31"/>
      <c r="F20" s="31"/>
      <c r="G20" s="31"/>
      <c r="H20" s="31"/>
      <c r="I20" s="31"/>
      <c r="J20" s="31"/>
      <c r="K20" s="31"/>
      <c r="L20" s="31"/>
      <c r="M20" s="31"/>
      <c r="N20" s="3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ht="21.75" customHeight="1">
      <c r="A21" s="41"/>
      <c r="B21" s="30" t="s">
        <v>77</v>
      </c>
      <c r="C21" s="31" t="s">
        <v>76</v>
      </c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ht="21.75" customHeight="1">
      <c r="A22" s="41"/>
      <c r="B22" s="30" t="s">
        <v>78</v>
      </c>
      <c r="C22" s="31" t="s">
        <v>76</v>
      </c>
      <c r="D22" s="31"/>
      <c r="E22" s="31"/>
      <c r="F22" s="31"/>
      <c r="G22" s="31"/>
      <c r="H22" s="31"/>
      <c r="I22" s="31"/>
      <c r="J22" s="31"/>
      <c r="K22" s="31"/>
      <c r="L22" s="31"/>
      <c r="M22" s="31"/>
      <c r="N22" s="3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ht="21.75" customHeight="1">
      <c r="A23" s="41"/>
      <c r="B23" s="30" t="s">
        <v>79</v>
      </c>
      <c r="C23" s="31" t="s">
        <v>74</v>
      </c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ht="21.75" customHeight="1">
      <c r="A24" s="41"/>
      <c r="B24" s="30" t="s">
        <v>80</v>
      </c>
      <c r="C24" s="31" t="s">
        <v>76</v>
      </c>
      <c r="D24" s="31"/>
      <c r="E24" s="31"/>
      <c r="F24" s="31"/>
      <c r="G24" s="31"/>
      <c r="H24" s="31"/>
      <c r="I24" s="31"/>
      <c r="J24" s="31"/>
      <c r="K24" s="31"/>
      <c r="L24" s="31"/>
      <c r="M24" s="31"/>
      <c r="N24" s="3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ht="25.5" customHeight="1">
      <c r="A25" s="41"/>
      <c r="B25" s="33" t="s">
        <v>81</v>
      </c>
      <c r="C25" s="34" t="s">
        <v>82</v>
      </c>
      <c r="D25" s="34" t="str">
        <f t="shared" ref="D25:N25" si="2">IF(COUNT(D19:D24)&lt;6,"",TEXT(SUM(D19:D24),"0.0")&amp;"/10 | "&amp;IF(OR(D19=0,D21=0,SUM(D19:D24)&lt;6),"RED",IF(AND(SUM(D19:D24)&gt;=8,D19=1,D21=2),"GREEN","YELLOW")))</f>
        <v/>
      </c>
      <c r="E25" s="34" t="str">
        <f t="shared" si="2"/>
        <v/>
      </c>
      <c r="F25" s="34" t="str">
        <f t="shared" si="2"/>
        <v/>
      </c>
      <c r="G25" s="34" t="str">
        <f t="shared" si="2"/>
        <v/>
      </c>
      <c r="H25" s="34" t="str">
        <f t="shared" si="2"/>
        <v/>
      </c>
      <c r="I25" s="34" t="str">
        <f t="shared" si="2"/>
        <v/>
      </c>
      <c r="J25" s="34" t="str">
        <f t="shared" si="2"/>
        <v/>
      </c>
      <c r="K25" s="34" t="str">
        <f t="shared" si="2"/>
        <v/>
      </c>
      <c r="L25" s="34" t="str">
        <f t="shared" si="2"/>
        <v/>
      </c>
      <c r="M25" s="34" t="str">
        <f t="shared" si="2"/>
        <v/>
      </c>
      <c r="N25" s="35" t="str">
        <f t="shared" si="2"/>
        <v/>
      </c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ht="48.0" customHeight="1">
      <c r="A26" s="41"/>
      <c r="B26" s="36" t="s">
        <v>83</v>
      </c>
      <c r="C26" s="37" t="s">
        <v>61</v>
      </c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9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ht="61.5" customHeight="1">
      <c r="A27" s="24" t="s">
        <v>96</v>
      </c>
      <c r="B27" s="25" t="s">
        <v>60</v>
      </c>
      <c r="C27" s="26" t="s">
        <v>61</v>
      </c>
      <c r="D27" s="27" t="s">
        <v>97</v>
      </c>
      <c r="E27" s="27" t="s">
        <v>98</v>
      </c>
      <c r="F27" s="27" t="s">
        <v>99</v>
      </c>
      <c r="G27" s="27" t="s">
        <v>100</v>
      </c>
      <c r="H27" s="27" t="s">
        <v>101</v>
      </c>
      <c r="I27" s="27" t="s">
        <v>102</v>
      </c>
      <c r="J27" s="27" t="s">
        <v>103</v>
      </c>
      <c r="K27" s="27" t="s">
        <v>104</v>
      </c>
      <c r="L27" s="27" t="s">
        <v>105</v>
      </c>
      <c r="M27" s="27" t="s">
        <v>106</v>
      </c>
      <c r="N27" s="28" t="s">
        <v>107</v>
      </c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</row>
    <row r="28" ht="21.75" customHeight="1">
      <c r="A28" s="29"/>
      <c r="B28" s="30" t="s">
        <v>73</v>
      </c>
      <c r="C28" s="31" t="s">
        <v>74</v>
      </c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ht="21.75" customHeight="1">
      <c r="A29" s="29"/>
      <c r="B29" s="30" t="s">
        <v>75</v>
      </c>
      <c r="C29" s="31" t="s">
        <v>76</v>
      </c>
      <c r="D29" s="31"/>
      <c r="E29" s="31"/>
      <c r="F29" s="31"/>
      <c r="G29" s="31"/>
      <c r="H29" s="31"/>
      <c r="I29" s="31"/>
      <c r="J29" s="31"/>
      <c r="K29" s="31"/>
      <c r="L29" s="31"/>
      <c r="M29" s="31"/>
      <c r="N29" s="3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ht="21.75" customHeight="1">
      <c r="A30" s="29"/>
      <c r="B30" s="30" t="s">
        <v>77</v>
      </c>
      <c r="C30" s="31" t="s">
        <v>76</v>
      </c>
      <c r="D30" s="31"/>
      <c r="E30" s="31"/>
      <c r="F30" s="31"/>
      <c r="G30" s="31"/>
      <c r="H30" s="31"/>
      <c r="I30" s="31"/>
      <c r="J30" s="31"/>
      <c r="K30" s="31"/>
      <c r="L30" s="31"/>
      <c r="M30" s="31"/>
      <c r="N30" s="3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ht="21.75" customHeight="1">
      <c r="A31" s="29"/>
      <c r="B31" s="30" t="s">
        <v>78</v>
      </c>
      <c r="C31" s="31" t="s">
        <v>76</v>
      </c>
      <c r="D31" s="31"/>
      <c r="E31" s="31"/>
      <c r="F31" s="31"/>
      <c r="G31" s="31"/>
      <c r="H31" s="31"/>
      <c r="I31" s="31"/>
      <c r="J31" s="31"/>
      <c r="K31" s="31"/>
      <c r="L31" s="31"/>
      <c r="M31" s="31"/>
      <c r="N31" s="3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ht="21.75" customHeight="1">
      <c r="A32" s="29"/>
      <c r="B32" s="30" t="s">
        <v>79</v>
      </c>
      <c r="C32" s="31" t="s">
        <v>74</v>
      </c>
      <c r="D32" s="31"/>
      <c r="E32" s="31"/>
      <c r="F32" s="31"/>
      <c r="G32" s="31"/>
      <c r="H32" s="31"/>
      <c r="I32" s="31"/>
      <c r="J32" s="31"/>
      <c r="K32" s="31"/>
      <c r="L32" s="31"/>
      <c r="M32" s="31"/>
      <c r="N32" s="3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ht="21.75" customHeight="1">
      <c r="A33" s="29"/>
      <c r="B33" s="30" t="s">
        <v>80</v>
      </c>
      <c r="C33" s="31" t="s">
        <v>76</v>
      </c>
      <c r="D33" s="31"/>
      <c r="E33" s="31"/>
      <c r="F33" s="31"/>
      <c r="G33" s="31"/>
      <c r="H33" s="31"/>
      <c r="I33" s="31"/>
      <c r="J33" s="31"/>
      <c r="K33" s="31"/>
      <c r="L33" s="31"/>
      <c r="M33" s="31"/>
      <c r="N33" s="3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ht="25.5" customHeight="1">
      <c r="A34" s="29"/>
      <c r="B34" s="33" t="s">
        <v>81</v>
      </c>
      <c r="C34" s="34" t="s">
        <v>82</v>
      </c>
      <c r="D34" s="34" t="str">
        <f t="shared" ref="D34:N34" si="3">IF(COUNT(D28:D33)&lt;6,"",TEXT(SUM(D28:D33),"0.0")&amp;"/10 | "&amp;IF(OR(D28=0,D30=0,SUM(D28:D33)&lt;6),"RED",IF(AND(SUM(D28:D33)&gt;=8,D28=1,D30=2),"GREEN","YELLOW")))</f>
        <v/>
      </c>
      <c r="E34" s="34" t="str">
        <f t="shared" si="3"/>
        <v/>
      </c>
      <c r="F34" s="34" t="str">
        <f t="shared" si="3"/>
        <v/>
      </c>
      <c r="G34" s="34" t="str">
        <f t="shared" si="3"/>
        <v/>
      </c>
      <c r="H34" s="34" t="str">
        <f t="shared" si="3"/>
        <v/>
      </c>
      <c r="I34" s="34" t="str">
        <f t="shared" si="3"/>
        <v/>
      </c>
      <c r="J34" s="34" t="str">
        <f t="shared" si="3"/>
        <v/>
      </c>
      <c r="K34" s="34" t="str">
        <f t="shared" si="3"/>
        <v/>
      </c>
      <c r="L34" s="34" t="str">
        <f t="shared" si="3"/>
        <v/>
      </c>
      <c r="M34" s="34" t="str">
        <f t="shared" si="3"/>
        <v/>
      </c>
      <c r="N34" s="35" t="str">
        <f t="shared" si="3"/>
        <v/>
      </c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ht="48.0" customHeight="1">
      <c r="A35" s="29"/>
      <c r="B35" s="36" t="s">
        <v>83</v>
      </c>
      <c r="C35" s="37" t="s">
        <v>61</v>
      </c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9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ht="61.5" customHeight="1">
      <c r="A36" s="40" t="s">
        <v>108</v>
      </c>
      <c r="B36" s="25" t="s">
        <v>60</v>
      </c>
      <c r="C36" s="26" t="s">
        <v>61</v>
      </c>
      <c r="D36" s="27" t="s">
        <v>109</v>
      </c>
      <c r="E36" s="27" t="s">
        <v>110</v>
      </c>
      <c r="F36" s="27" t="s">
        <v>111</v>
      </c>
      <c r="G36" s="27" t="s">
        <v>112</v>
      </c>
      <c r="H36" s="27" t="s">
        <v>113</v>
      </c>
      <c r="I36" s="27" t="s">
        <v>114</v>
      </c>
      <c r="J36" s="27" t="s">
        <v>115</v>
      </c>
      <c r="K36" s="27" t="s">
        <v>116</v>
      </c>
      <c r="L36" s="27" t="s">
        <v>117</v>
      </c>
      <c r="M36" s="27" t="s">
        <v>118</v>
      </c>
      <c r="N36" s="28" t="s">
        <v>119</v>
      </c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</row>
    <row r="37" ht="21.75" customHeight="1">
      <c r="A37" s="41"/>
      <c r="B37" s="30" t="s">
        <v>73</v>
      </c>
      <c r="C37" s="31" t="s">
        <v>74</v>
      </c>
      <c r="D37" s="31"/>
      <c r="E37" s="31"/>
      <c r="F37" s="31"/>
      <c r="G37" s="31"/>
      <c r="H37" s="31"/>
      <c r="I37" s="31"/>
      <c r="J37" s="31"/>
      <c r="K37" s="31"/>
      <c r="L37" s="31"/>
      <c r="M37" s="31"/>
      <c r="N37" s="3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ht="21.75" customHeight="1">
      <c r="A38" s="41"/>
      <c r="B38" s="30" t="s">
        <v>75</v>
      </c>
      <c r="C38" s="31" t="s">
        <v>76</v>
      </c>
      <c r="D38" s="31"/>
      <c r="E38" s="31"/>
      <c r="F38" s="31"/>
      <c r="G38" s="31"/>
      <c r="H38" s="31"/>
      <c r="I38" s="31"/>
      <c r="J38" s="31"/>
      <c r="K38" s="31"/>
      <c r="L38" s="31"/>
      <c r="M38" s="31"/>
      <c r="N38" s="3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ht="21.75" customHeight="1">
      <c r="A39" s="41"/>
      <c r="B39" s="30" t="s">
        <v>77</v>
      </c>
      <c r="C39" s="31" t="s">
        <v>76</v>
      </c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ht="21.75" customHeight="1">
      <c r="A40" s="41"/>
      <c r="B40" s="30" t="s">
        <v>78</v>
      </c>
      <c r="C40" s="31" t="s">
        <v>76</v>
      </c>
      <c r="D40" s="31"/>
      <c r="E40" s="31"/>
      <c r="F40" s="31"/>
      <c r="G40" s="31"/>
      <c r="H40" s="31"/>
      <c r="I40" s="31"/>
      <c r="J40" s="31"/>
      <c r="K40" s="31"/>
      <c r="L40" s="31"/>
      <c r="M40" s="31"/>
      <c r="N40" s="3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ht="21.75" customHeight="1">
      <c r="A41" s="41"/>
      <c r="B41" s="30" t="s">
        <v>79</v>
      </c>
      <c r="C41" s="31" t="s">
        <v>74</v>
      </c>
      <c r="D41" s="31"/>
      <c r="E41" s="31"/>
      <c r="F41" s="31"/>
      <c r="G41" s="31"/>
      <c r="H41" s="31"/>
      <c r="I41" s="31"/>
      <c r="J41" s="31"/>
      <c r="K41" s="31"/>
      <c r="L41" s="31"/>
      <c r="M41" s="31"/>
      <c r="N41" s="3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ht="21.75" customHeight="1">
      <c r="A42" s="41"/>
      <c r="B42" s="30" t="s">
        <v>80</v>
      </c>
      <c r="C42" s="31" t="s">
        <v>76</v>
      </c>
      <c r="D42" s="31"/>
      <c r="E42" s="31"/>
      <c r="F42" s="31"/>
      <c r="G42" s="31"/>
      <c r="H42" s="31"/>
      <c r="I42" s="31"/>
      <c r="J42" s="31"/>
      <c r="K42" s="31"/>
      <c r="L42" s="31"/>
      <c r="M42" s="31"/>
      <c r="N42" s="3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ht="25.5" customHeight="1">
      <c r="A43" s="41"/>
      <c r="B43" s="33" t="s">
        <v>81</v>
      </c>
      <c r="C43" s="34" t="s">
        <v>82</v>
      </c>
      <c r="D43" s="34" t="str">
        <f t="shared" ref="D43:N43" si="4">IF(COUNT(D37:D42)&lt;6,"",TEXT(SUM(D37:D42),"0.0")&amp;"/10 | "&amp;IF(OR(D37=0,D39=0,SUM(D37:D42)&lt;6),"RED",IF(AND(SUM(D37:D42)&gt;=8,D37=1,D39=2),"GREEN","YELLOW")))</f>
        <v/>
      </c>
      <c r="E43" s="34" t="str">
        <f t="shared" si="4"/>
        <v/>
      </c>
      <c r="F43" s="34" t="str">
        <f t="shared" si="4"/>
        <v/>
      </c>
      <c r="G43" s="34" t="str">
        <f t="shared" si="4"/>
        <v/>
      </c>
      <c r="H43" s="34" t="str">
        <f t="shared" si="4"/>
        <v/>
      </c>
      <c r="I43" s="34" t="str">
        <f t="shared" si="4"/>
        <v/>
      </c>
      <c r="J43" s="34" t="str">
        <f t="shared" si="4"/>
        <v/>
      </c>
      <c r="K43" s="34" t="str">
        <f t="shared" si="4"/>
        <v/>
      </c>
      <c r="L43" s="34" t="str">
        <f t="shared" si="4"/>
        <v/>
      </c>
      <c r="M43" s="34" t="str">
        <f t="shared" si="4"/>
        <v/>
      </c>
      <c r="N43" s="35" t="str">
        <f t="shared" si="4"/>
        <v/>
      </c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ht="48.0" customHeight="1">
      <c r="A44" s="41"/>
      <c r="B44" s="36" t="s">
        <v>83</v>
      </c>
      <c r="C44" s="37" t="s">
        <v>61</v>
      </c>
      <c r="D44" s="38"/>
      <c r="E44" s="38"/>
      <c r="F44" s="38"/>
      <c r="G44" s="38"/>
      <c r="H44" s="38"/>
      <c r="I44" s="38"/>
      <c r="J44" s="38"/>
      <c r="K44" s="38"/>
      <c r="L44" s="38"/>
      <c r="M44" s="38"/>
      <c r="N44" s="39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ht="61.5" customHeight="1">
      <c r="A45" s="24" t="s">
        <v>120</v>
      </c>
      <c r="B45" s="25" t="s">
        <v>60</v>
      </c>
      <c r="C45" s="26" t="s">
        <v>61</v>
      </c>
      <c r="D45" s="27" t="s">
        <v>121</v>
      </c>
      <c r="E45" s="27" t="s">
        <v>122</v>
      </c>
      <c r="F45" s="27" t="s">
        <v>123</v>
      </c>
      <c r="G45" s="27" t="s">
        <v>124</v>
      </c>
      <c r="H45" s="27" t="s">
        <v>125</v>
      </c>
      <c r="I45" s="27" t="s">
        <v>126</v>
      </c>
      <c r="J45" s="27" t="s">
        <v>127</v>
      </c>
      <c r="K45" s="27" t="s">
        <v>128</v>
      </c>
      <c r="L45" s="27" t="s">
        <v>129</v>
      </c>
      <c r="M45" s="27" t="s">
        <v>130</v>
      </c>
      <c r="N45" s="28" t="s">
        <v>131</v>
      </c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</row>
    <row r="46" ht="21.75" customHeight="1">
      <c r="A46" s="29"/>
      <c r="B46" s="30" t="s">
        <v>73</v>
      </c>
      <c r="C46" s="31" t="s">
        <v>74</v>
      </c>
      <c r="D46" s="31"/>
      <c r="E46" s="31"/>
      <c r="F46" s="31"/>
      <c r="G46" s="31"/>
      <c r="H46" s="31"/>
      <c r="I46" s="31"/>
      <c r="J46" s="31"/>
      <c r="K46" s="31"/>
      <c r="L46" s="31"/>
      <c r="M46" s="31"/>
      <c r="N46" s="3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ht="21.75" customHeight="1">
      <c r="A47" s="29"/>
      <c r="B47" s="30" t="s">
        <v>75</v>
      </c>
      <c r="C47" s="31" t="s">
        <v>76</v>
      </c>
      <c r="D47" s="31"/>
      <c r="E47" s="31"/>
      <c r="F47" s="31"/>
      <c r="G47" s="31"/>
      <c r="H47" s="31"/>
      <c r="I47" s="31"/>
      <c r="J47" s="31"/>
      <c r="K47" s="31"/>
      <c r="L47" s="31"/>
      <c r="M47" s="31"/>
      <c r="N47" s="3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ht="21.75" customHeight="1">
      <c r="A48" s="29"/>
      <c r="B48" s="30" t="s">
        <v>77</v>
      </c>
      <c r="C48" s="31" t="s">
        <v>76</v>
      </c>
      <c r="D48" s="31"/>
      <c r="E48" s="31"/>
      <c r="F48" s="31"/>
      <c r="G48" s="31"/>
      <c r="H48" s="31"/>
      <c r="I48" s="31"/>
      <c r="J48" s="31"/>
      <c r="K48" s="31"/>
      <c r="L48" s="31"/>
      <c r="M48" s="31"/>
      <c r="N48" s="3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ht="21.75" customHeight="1">
      <c r="A49" s="29"/>
      <c r="B49" s="30" t="s">
        <v>78</v>
      </c>
      <c r="C49" s="31" t="s">
        <v>76</v>
      </c>
      <c r="D49" s="31"/>
      <c r="E49" s="31"/>
      <c r="F49" s="31"/>
      <c r="G49" s="31"/>
      <c r="H49" s="31"/>
      <c r="I49" s="31"/>
      <c r="J49" s="31"/>
      <c r="K49" s="31"/>
      <c r="L49" s="31"/>
      <c r="M49" s="31"/>
      <c r="N49" s="3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ht="21.75" customHeight="1">
      <c r="A50" s="29"/>
      <c r="B50" s="30" t="s">
        <v>79</v>
      </c>
      <c r="C50" s="31" t="s">
        <v>74</v>
      </c>
      <c r="D50" s="31"/>
      <c r="E50" s="31"/>
      <c r="F50" s="31"/>
      <c r="G50" s="31"/>
      <c r="H50" s="31"/>
      <c r="I50" s="31"/>
      <c r="J50" s="31"/>
      <c r="K50" s="31"/>
      <c r="L50" s="31"/>
      <c r="M50" s="31"/>
      <c r="N50" s="3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ht="21.75" customHeight="1">
      <c r="A51" s="29"/>
      <c r="B51" s="30" t="s">
        <v>80</v>
      </c>
      <c r="C51" s="31" t="s">
        <v>76</v>
      </c>
      <c r="D51" s="31"/>
      <c r="E51" s="31"/>
      <c r="F51" s="31"/>
      <c r="G51" s="31"/>
      <c r="H51" s="31"/>
      <c r="I51" s="31"/>
      <c r="J51" s="31"/>
      <c r="K51" s="31"/>
      <c r="L51" s="31"/>
      <c r="M51" s="31"/>
      <c r="N51" s="3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ht="25.5" customHeight="1">
      <c r="A52" s="29"/>
      <c r="B52" s="33" t="s">
        <v>81</v>
      </c>
      <c r="C52" s="34" t="s">
        <v>82</v>
      </c>
      <c r="D52" s="34" t="str">
        <f t="shared" ref="D52:N52" si="5">IF(COUNT(D46:D51)&lt;6,"",TEXT(SUM(D46:D51),"0.0")&amp;"/10 | "&amp;IF(OR(D46=0,D48=0,SUM(D46:D51)&lt;6),"RED",IF(AND(SUM(D46:D51)&gt;=8,D46=1,D48=2),"GREEN","YELLOW")))</f>
        <v/>
      </c>
      <c r="E52" s="34" t="str">
        <f t="shared" si="5"/>
        <v/>
      </c>
      <c r="F52" s="34" t="str">
        <f t="shared" si="5"/>
        <v/>
      </c>
      <c r="G52" s="34" t="str">
        <f t="shared" si="5"/>
        <v/>
      </c>
      <c r="H52" s="34" t="str">
        <f t="shared" si="5"/>
        <v/>
      </c>
      <c r="I52" s="34" t="str">
        <f t="shared" si="5"/>
        <v/>
      </c>
      <c r="J52" s="34" t="str">
        <f t="shared" si="5"/>
        <v/>
      </c>
      <c r="K52" s="34" t="str">
        <f t="shared" si="5"/>
        <v/>
      </c>
      <c r="L52" s="34" t="str">
        <f t="shared" si="5"/>
        <v/>
      </c>
      <c r="M52" s="34" t="str">
        <f t="shared" si="5"/>
        <v/>
      </c>
      <c r="N52" s="35" t="str">
        <f t="shared" si="5"/>
        <v/>
      </c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ht="48.0" customHeight="1">
      <c r="A53" s="29"/>
      <c r="B53" s="36" t="s">
        <v>83</v>
      </c>
      <c r="C53" s="37" t="s">
        <v>61</v>
      </c>
      <c r="D53" s="38"/>
      <c r="E53" s="38"/>
      <c r="F53" s="38"/>
      <c r="G53" s="38"/>
      <c r="H53" s="38"/>
      <c r="I53" s="38"/>
      <c r="J53" s="38"/>
      <c r="K53" s="38"/>
      <c r="L53" s="38"/>
      <c r="M53" s="38"/>
      <c r="N53" s="39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ht="61.5" customHeight="1">
      <c r="A54" s="40" t="s">
        <v>132</v>
      </c>
      <c r="B54" s="25" t="s">
        <v>60</v>
      </c>
      <c r="C54" s="26" t="s">
        <v>61</v>
      </c>
      <c r="D54" s="27" t="s">
        <v>133</v>
      </c>
      <c r="E54" s="27" t="s">
        <v>134</v>
      </c>
      <c r="F54" s="27" t="s">
        <v>135</v>
      </c>
      <c r="G54" s="27" t="s">
        <v>136</v>
      </c>
      <c r="H54" s="27" t="s">
        <v>137</v>
      </c>
      <c r="I54" s="27" t="s">
        <v>138</v>
      </c>
      <c r="J54" s="27" t="s">
        <v>139</v>
      </c>
      <c r="K54" s="27" t="s">
        <v>140</v>
      </c>
      <c r="L54" s="27" t="s">
        <v>141</v>
      </c>
      <c r="M54" s="27" t="s">
        <v>142</v>
      </c>
      <c r="N54" s="28" t="s">
        <v>143</v>
      </c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</row>
    <row r="55" ht="21.75" customHeight="1">
      <c r="A55" s="41"/>
      <c r="B55" s="30" t="s">
        <v>73</v>
      </c>
      <c r="C55" s="31" t="s">
        <v>74</v>
      </c>
      <c r="D55" s="31"/>
      <c r="E55" s="31"/>
      <c r="F55" s="31"/>
      <c r="G55" s="31"/>
      <c r="H55" s="31"/>
      <c r="I55" s="31"/>
      <c r="J55" s="31"/>
      <c r="K55" s="31"/>
      <c r="L55" s="31"/>
      <c r="M55" s="31"/>
      <c r="N55" s="3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ht="21.75" customHeight="1">
      <c r="A56" s="41"/>
      <c r="B56" s="30" t="s">
        <v>75</v>
      </c>
      <c r="C56" s="31" t="s">
        <v>76</v>
      </c>
      <c r="D56" s="31"/>
      <c r="E56" s="31"/>
      <c r="F56" s="31"/>
      <c r="G56" s="31"/>
      <c r="H56" s="31"/>
      <c r="I56" s="31"/>
      <c r="J56" s="31"/>
      <c r="K56" s="31"/>
      <c r="L56" s="31"/>
      <c r="M56" s="31"/>
      <c r="N56" s="3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ht="21.75" customHeight="1">
      <c r="A57" s="41"/>
      <c r="B57" s="30" t="s">
        <v>77</v>
      </c>
      <c r="C57" s="31" t="s">
        <v>76</v>
      </c>
      <c r="D57" s="31"/>
      <c r="E57" s="31"/>
      <c r="F57" s="31"/>
      <c r="G57" s="31"/>
      <c r="H57" s="31"/>
      <c r="I57" s="31"/>
      <c r="J57" s="31"/>
      <c r="K57" s="31"/>
      <c r="L57" s="31"/>
      <c r="M57" s="31"/>
      <c r="N57" s="3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ht="21.75" customHeight="1">
      <c r="A58" s="41"/>
      <c r="B58" s="30" t="s">
        <v>78</v>
      </c>
      <c r="C58" s="31" t="s">
        <v>76</v>
      </c>
      <c r="D58" s="31"/>
      <c r="E58" s="31"/>
      <c r="F58" s="31"/>
      <c r="G58" s="31"/>
      <c r="H58" s="31"/>
      <c r="I58" s="31"/>
      <c r="J58" s="31"/>
      <c r="K58" s="31"/>
      <c r="L58" s="31"/>
      <c r="M58" s="31"/>
      <c r="N58" s="3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ht="21.75" customHeight="1">
      <c r="A59" s="41"/>
      <c r="B59" s="30" t="s">
        <v>79</v>
      </c>
      <c r="C59" s="31" t="s">
        <v>74</v>
      </c>
      <c r="D59" s="31"/>
      <c r="E59" s="31"/>
      <c r="F59" s="31"/>
      <c r="G59" s="31"/>
      <c r="H59" s="31"/>
      <c r="I59" s="31"/>
      <c r="J59" s="31"/>
      <c r="K59" s="31"/>
      <c r="L59" s="31"/>
      <c r="M59" s="31"/>
      <c r="N59" s="3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ht="21.75" customHeight="1">
      <c r="A60" s="41"/>
      <c r="B60" s="30" t="s">
        <v>80</v>
      </c>
      <c r="C60" s="31" t="s">
        <v>76</v>
      </c>
      <c r="D60" s="31"/>
      <c r="E60" s="31"/>
      <c r="F60" s="31"/>
      <c r="G60" s="31"/>
      <c r="H60" s="31"/>
      <c r="I60" s="31"/>
      <c r="J60" s="31"/>
      <c r="K60" s="31"/>
      <c r="L60" s="31"/>
      <c r="M60" s="31"/>
      <c r="N60" s="3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ht="25.5" customHeight="1">
      <c r="A61" s="41"/>
      <c r="B61" s="33" t="s">
        <v>81</v>
      </c>
      <c r="C61" s="34" t="s">
        <v>82</v>
      </c>
      <c r="D61" s="34" t="str">
        <f t="shared" ref="D61:N61" si="6">IF(COUNT(D55:D60)&lt;6,"",TEXT(SUM(D55:D60),"0.0")&amp;"/10 | "&amp;IF(OR(D55=0,D57=0,SUM(D55:D60)&lt;6),"RED",IF(AND(SUM(D55:D60)&gt;=8,D55=1,D57=2),"GREEN","YELLOW")))</f>
        <v/>
      </c>
      <c r="E61" s="34" t="str">
        <f t="shared" si="6"/>
        <v/>
      </c>
      <c r="F61" s="34" t="str">
        <f t="shared" si="6"/>
        <v/>
      </c>
      <c r="G61" s="34" t="str">
        <f t="shared" si="6"/>
        <v/>
      </c>
      <c r="H61" s="34" t="str">
        <f t="shared" si="6"/>
        <v/>
      </c>
      <c r="I61" s="34" t="str">
        <f t="shared" si="6"/>
        <v/>
      </c>
      <c r="J61" s="34" t="str">
        <f t="shared" si="6"/>
        <v/>
      </c>
      <c r="K61" s="34" t="str">
        <f t="shared" si="6"/>
        <v/>
      </c>
      <c r="L61" s="34" t="str">
        <f t="shared" si="6"/>
        <v/>
      </c>
      <c r="M61" s="34" t="str">
        <f t="shared" si="6"/>
        <v/>
      </c>
      <c r="N61" s="35" t="str">
        <f t="shared" si="6"/>
        <v/>
      </c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ht="48.0" customHeight="1">
      <c r="A62" s="41"/>
      <c r="B62" s="36" t="s">
        <v>83</v>
      </c>
      <c r="C62" s="37" t="s">
        <v>61</v>
      </c>
      <c r="D62" s="38"/>
      <c r="E62" s="38"/>
      <c r="F62" s="38"/>
      <c r="G62" s="38"/>
      <c r="H62" s="38"/>
      <c r="I62" s="38"/>
      <c r="J62" s="38"/>
      <c r="K62" s="38"/>
      <c r="L62" s="38"/>
      <c r="M62" s="38"/>
      <c r="N62" s="39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ht="61.5" customHeight="1">
      <c r="A63" s="24" t="s">
        <v>144</v>
      </c>
      <c r="B63" s="25" t="s">
        <v>60</v>
      </c>
      <c r="C63" s="26" t="s">
        <v>61</v>
      </c>
      <c r="D63" s="27" t="s">
        <v>145</v>
      </c>
      <c r="E63" s="27" t="s">
        <v>146</v>
      </c>
      <c r="F63" s="27" t="s">
        <v>147</v>
      </c>
      <c r="G63" s="27" t="s">
        <v>148</v>
      </c>
      <c r="H63" s="27" t="s">
        <v>149</v>
      </c>
      <c r="I63" s="27" t="s">
        <v>150</v>
      </c>
      <c r="J63" s="27" t="s">
        <v>151</v>
      </c>
      <c r="K63" s="27" t="s">
        <v>152</v>
      </c>
      <c r="L63" s="27" t="s">
        <v>153</v>
      </c>
      <c r="M63" s="27" t="s">
        <v>154</v>
      </c>
      <c r="N63" s="28" t="s">
        <v>155</v>
      </c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</row>
    <row r="64" ht="21.75" customHeight="1">
      <c r="A64" s="29"/>
      <c r="B64" s="30" t="s">
        <v>73</v>
      </c>
      <c r="C64" s="31" t="s">
        <v>74</v>
      </c>
      <c r="D64" s="31"/>
      <c r="E64" s="31"/>
      <c r="F64" s="31"/>
      <c r="G64" s="31"/>
      <c r="H64" s="31"/>
      <c r="I64" s="31"/>
      <c r="J64" s="31"/>
      <c r="K64" s="31"/>
      <c r="L64" s="31"/>
      <c r="M64" s="31"/>
      <c r="N64" s="3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ht="21.75" customHeight="1">
      <c r="A65" s="29"/>
      <c r="B65" s="30" t="s">
        <v>75</v>
      </c>
      <c r="C65" s="31" t="s">
        <v>76</v>
      </c>
      <c r="D65" s="31"/>
      <c r="E65" s="31"/>
      <c r="F65" s="31"/>
      <c r="G65" s="31"/>
      <c r="H65" s="31"/>
      <c r="I65" s="31"/>
      <c r="J65" s="31"/>
      <c r="K65" s="31"/>
      <c r="L65" s="31"/>
      <c r="M65" s="31"/>
      <c r="N65" s="3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ht="21.75" customHeight="1">
      <c r="A66" s="29"/>
      <c r="B66" s="30" t="s">
        <v>77</v>
      </c>
      <c r="C66" s="31" t="s">
        <v>76</v>
      </c>
      <c r="D66" s="31"/>
      <c r="E66" s="31"/>
      <c r="F66" s="31"/>
      <c r="G66" s="31"/>
      <c r="H66" s="31"/>
      <c r="I66" s="31"/>
      <c r="J66" s="31"/>
      <c r="K66" s="31"/>
      <c r="L66" s="31"/>
      <c r="M66" s="31"/>
      <c r="N66" s="3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ht="21.75" customHeight="1">
      <c r="A67" s="29"/>
      <c r="B67" s="30" t="s">
        <v>78</v>
      </c>
      <c r="C67" s="31" t="s">
        <v>76</v>
      </c>
      <c r="D67" s="31"/>
      <c r="E67" s="31"/>
      <c r="F67" s="31"/>
      <c r="G67" s="31"/>
      <c r="H67" s="31"/>
      <c r="I67" s="31"/>
      <c r="J67" s="31"/>
      <c r="K67" s="31"/>
      <c r="L67" s="31"/>
      <c r="M67" s="31"/>
      <c r="N67" s="3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ht="21.75" customHeight="1">
      <c r="A68" s="29"/>
      <c r="B68" s="30" t="s">
        <v>79</v>
      </c>
      <c r="C68" s="31" t="s">
        <v>74</v>
      </c>
      <c r="D68" s="31"/>
      <c r="E68" s="31"/>
      <c r="F68" s="31"/>
      <c r="G68" s="31"/>
      <c r="H68" s="31"/>
      <c r="I68" s="31"/>
      <c r="J68" s="31"/>
      <c r="K68" s="31"/>
      <c r="L68" s="31"/>
      <c r="M68" s="31"/>
      <c r="N68" s="3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ht="21.75" customHeight="1">
      <c r="A69" s="29"/>
      <c r="B69" s="30" t="s">
        <v>80</v>
      </c>
      <c r="C69" s="31" t="s">
        <v>76</v>
      </c>
      <c r="D69" s="31"/>
      <c r="E69" s="31"/>
      <c r="F69" s="31"/>
      <c r="G69" s="31"/>
      <c r="H69" s="31"/>
      <c r="I69" s="31"/>
      <c r="J69" s="31"/>
      <c r="K69" s="31"/>
      <c r="L69" s="31"/>
      <c r="M69" s="31"/>
      <c r="N69" s="3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ht="25.5" customHeight="1">
      <c r="A70" s="29"/>
      <c r="B70" s="33" t="s">
        <v>81</v>
      </c>
      <c r="C70" s="34" t="s">
        <v>82</v>
      </c>
      <c r="D70" s="34" t="str">
        <f t="shared" ref="D70:N70" si="7">IF(COUNT(D64:D69)&lt;6,"",TEXT(SUM(D64:D69),"0.0")&amp;"/10 | "&amp;IF(OR(D64=0,D66=0,SUM(D64:D69)&lt;6),"RED",IF(AND(SUM(D64:D69)&gt;=8,D64=1,D66=2),"GREEN","YELLOW")))</f>
        <v/>
      </c>
      <c r="E70" s="34" t="str">
        <f t="shared" si="7"/>
        <v/>
      </c>
      <c r="F70" s="34" t="str">
        <f t="shared" si="7"/>
        <v/>
      </c>
      <c r="G70" s="34" t="str">
        <f t="shared" si="7"/>
        <v/>
      </c>
      <c r="H70" s="34" t="str">
        <f t="shared" si="7"/>
        <v/>
      </c>
      <c r="I70" s="34" t="str">
        <f t="shared" si="7"/>
        <v/>
      </c>
      <c r="J70" s="34" t="str">
        <f t="shared" si="7"/>
        <v/>
      </c>
      <c r="K70" s="34" t="str">
        <f t="shared" si="7"/>
        <v/>
      </c>
      <c r="L70" s="34" t="str">
        <f t="shared" si="7"/>
        <v/>
      </c>
      <c r="M70" s="34" t="str">
        <f t="shared" si="7"/>
        <v/>
      </c>
      <c r="N70" s="35" t="str">
        <f t="shared" si="7"/>
        <v/>
      </c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ht="48.0" customHeight="1">
      <c r="A71" s="29"/>
      <c r="B71" s="36" t="s">
        <v>83</v>
      </c>
      <c r="C71" s="37" t="s">
        <v>61</v>
      </c>
      <c r="D71" s="38"/>
      <c r="E71" s="38"/>
      <c r="F71" s="38"/>
      <c r="G71" s="38"/>
      <c r="H71" s="38"/>
      <c r="I71" s="38"/>
      <c r="J71" s="38"/>
      <c r="K71" s="38"/>
      <c r="L71" s="38"/>
      <c r="M71" s="38"/>
      <c r="N71" s="39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ht="61.5" customHeight="1">
      <c r="A72" s="40" t="s">
        <v>156</v>
      </c>
      <c r="B72" s="25" t="s">
        <v>60</v>
      </c>
      <c r="C72" s="26" t="s">
        <v>61</v>
      </c>
      <c r="D72" s="27" t="s">
        <v>157</v>
      </c>
      <c r="E72" s="27" t="s">
        <v>158</v>
      </c>
      <c r="F72" s="27" t="s">
        <v>159</v>
      </c>
      <c r="G72" s="27" t="s">
        <v>160</v>
      </c>
      <c r="H72" s="27" t="s">
        <v>161</v>
      </c>
      <c r="I72" s="27" t="s">
        <v>162</v>
      </c>
      <c r="J72" s="27" t="s">
        <v>163</v>
      </c>
      <c r="K72" s="27" t="s">
        <v>164</v>
      </c>
      <c r="L72" s="27" t="s">
        <v>165</v>
      </c>
      <c r="M72" s="27" t="s">
        <v>166</v>
      </c>
      <c r="N72" s="28" t="s">
        <v>167</v>
      </c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</row>
    <row r="73" ht="21.75" customHeight="1">
      <c r="A73" s="41"/>
      <c r="B73" s="30" t="s">
        <v>73</v>
      </c>
      <c r="C73" s="31" t="s">
        <v>74</v>
      </c>
      <c r="D73" s="31"/>
      <c r="E73" s="31"/>
      <c r="F73" s="31"/>
      <c r="G73" s="31"/>
      <c r="H73" s="31"/>
      <c r="I73" s="31"/>
      <c r="J73" s="31"/>
      <c r="K73" s="31"/>
      <c r="L73" s="31"/>
      <c r="M73" s="31"/>
      <c r="N73" s="3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ht="21.75" customHeight="1">
      <c r="A74" s="41"/>
      <c r="B74" s="30" t="s">
        <v>75</v>
      </c>
      <c r="C74" s="31" t="s">
        <v>76</v>
      </c>
      <c r="D74" s="31"/>
      <c r="E74" s="31"/>
      <c r="F74" s="31"/>
      <c r="G74" s="31"/>
      <c r="H74" s="31"/>
      <c r="I74" s="31"/>
      <c r="J74" s="31"/>
      <c r="K74" s="31"/>
      <c r="L74" s="31"/>
      <c r="M74" s="31"/>
      <c r="N74" s="3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ht="21.75" customHeight="1">
      <c r="A75" s="41"/>
      <c r="B75" s="30" t="s">
        <v>77</v>
      </c>
      <c r="C75" s="31" t="s">
        <v>76</v>
      </c>
      <c r="D75" s="31"/>
      <c r="E75" s="31"/>
      <c r="F75" s="31"/>
      <c r="G75" s="31"/>
      <c r="H75" s="31"/>
      <c r="I75" s="31"/>
      <c r="J75" s="31"/>
      <c r="K75" s="31"/>
      <c r="L75" s="31"/>
      <c r="M75" s="31"/>
      <c r="N75" s="3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ht="21.75" customHeight="1">
      <c r="A76" s="41"/>
      <c r="B76" s="30" t="s">
        <v>78</v>
      </c>
      <c r="C76" s="31" t="s">
        <v>76</v>
      </c>
      <c r="D76" s="31"/>
      <c r="E76" s="31"/>
      <c r="F76" s="31"/>
      <c r="G76" s="31"/>
      <c r="H76" s="31"/>
      <c r="I76" s="31"/>
      <c r="J76" s="31"/>
      <c r="K76" s="31"/>
      <c r="L76" s="31"/>
      <c r="M76" s="31"/>
      <c r="N76" s="3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ht="21.75" customHeight="1">
      <c r="A77" s="41"/>
      <c r="B77" s="30" t="s">
        <v>79</v>
      </c>
      <c r="C77" s="31" t="s">
        <v>74</v>
      </c>
      <c r="D77" s="31"/>
      <c r="E77" s="31"/>
      <c r="F77" s="31"/>
      <c r="G77" s="31"/>
      <c r="H77" s="31"/>
      <c r="I77" s="31"/>
      <c r="J77" s="31"/>
      <c r="K77" s="31"/>
      <c r="L77" s="31"/>
      <c r="M77" s="31"/>
      <c r="N77" s="3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ht="21.75" customHeight="1">
      <c r="A78" s="41"/>
      <c r="B78" s="30" t="s">
        <v>80</v>
      </c>
      <c r="C78" s="31" t="s">
        <v>76</v>
      </c>
      <c r="D78" s="31"/>
      <c r="E78" s="31"/>
      <c r="F78" s="31"/>
      <c r="G78" s="31"/>
      <c r="H78" s="31"/>
      <c r="I78" s="31"/>
      <c r="J78" s="31"/>
      <c r="K78" s="31"/>
      <c r="L78" s="31"/>
      <c r="M78" s="31"/>
      <c r="N78" s="3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ht="25.5" customHeight="1">
      <c r="A79" s="41"/>
      <c r="B79" s="33" t="s">
        <v>81</v>
      </c>
      <c r="C79" s="34" t="s">
        <v>82</v>
      </c>
      <c r="D79" s="34" t="str">
        <f t="shared" ref="D79:N79" si="8">IF(COUNT(D73:D78)&lt;6,"",TEXT(SUM(D73:D78),"0.0")&amp;"/10 | "&amp;IF(OR(D73=0,D75=0,SUM(D73:D78)&lt;6),"RED",IF(AND(SUM(D73:D78)&gt;=8,D73=1,D75=2),"GREEN","YELLOW")))</f>
        <v/>
      </c>
      <c r="E79" s="34" t="str">
        <f t="shared" si="8"/>
        <v/>
      </c>
      <c r="F79" s="34" t="str">
        <f t="shared" si="8"/>
        <v/>
      </c>
      <c r="G79" s="34" t="str">
        <f t="shared" si="8"/>
        <v/>
      </c>
      <c r="H79" s="34" t="str">
        <f t="shared" si="8"/>
        <v/>
      </c>
      <c r="I79" s="34" t="str">
        <f t="shared" si="8"/>
        <v/>
      </c>
      <c r="J79" s="34" t="str">
        <f t="shared" si="8"/>
        <v/>
      </c>
      <c r="K79" s="34" t="str">
        <f t="shared" si="8"/>
        <v/>
      </c>
      <c r="L79" s="34" t="str">
        <f t="shared" si="8"/>
        <v/>
      </c>
      <c r="M79" s="34" t="str">
        <f t="shared" si="8"/>
        <v/>
      </c>
      <c r="N79" s="35" t="str">
        <f t="shared" si="8"/>
        <v/>
      </c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ht="48.0" customHeight="1">
      <c r="A80" s="41"/>
      <c r="B80" s="36" t="s">
        <v>83</v>
      </c>
      <c r="C80" s="37" t="s">
        <v>61</v>
      </c>
      <c r="D80" s="38"/>
      <c r="E80" s="38"/>
      <c r="F80" s="38"/>
      <c r="G80" s="38"/>
      <c r="H80" s="38"/>
      <c r="I80" s="38"/>
      <c r="J80" s="38"/>
      <c r="K80" s="38"/>
      <c r="L80" s="38"/>
      <c r="M80" s="38"/>
      <c r="N80" s="39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ht="61.5" customHeight="1">
      <c r="A81" s="24" t="s">
        <v>168</v>
      </c>
      <c r="B81" s="25" t="s">
        <v>60</v>
      </c>
      <c r="C81" s="26" t="s">
        <v>61</v>
      </c>
      <c r="D81" s="27" t="s">
        <v>169</v>
      </c>
      <c r="E81" s="27" t="s">
        <v>170</v>
      </c>
      <c r="F81" s="27" t="s">
        <v>171</v>
      </c>
      <c r="G81" s="27" t="s">
        <v>172</v>
      </c>
      <c r="H81" s="27" t="s">
        <v>173</v>
      </c>
      <c r="I81" s="27" t="s">
        <v>174</v>
      </c>
      <c r="J81" s="42" t="s">
        <v>175</v>
      </c>
      <c r="K81" s="27" t="s">
        <v>176</v>
      </c>
      <c r="L81" s="27" t="s">
        <v>177</v>
      </c>
      <c r="M81" s="27" t="s">
        <v>178</v>
      </c>
      <c r="N81" s="28" t="s">
        <v>179</v>
      </c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</row>
    <row r="82" ht="21.75" customHeight="1">
      <c r="A82" s="29"/>
      <c r="B82" s="30" t="s">
        <v>73</v>
      </c>
      <c r="C82" s="31" t="s">
        <v>74</v>
      </c>
      <c r="D82" s="31"/>
      <c r="E82" s="31"/>
      <c r="F82" s="31"/>
      <c r="G82" s="31"/>
      <c r="H82" s="31"/>
      <c r="I82" s="31"/>
      <c r="J82" s="31"/>
      <c r="K82" s="31"/>
      <c r="L82" s="31"/>
      <c r="M82" s="31"/>
      <c r="N82" s="3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ht="21.75" customHeight="1">
      <c r="A83" s="29"/>
      <c r="B83" s="30" t="s">
        <v>75</v>
      </c>
      <c r="C83" s="31" t="s">
        <v>76</v>
      </c>
      <c r="D83" s="31"/>
      <c r="E83" s="31"/>
      <c r="F83" s="31"/>
      <c r="G83" s="31"/>
      <c r="H83" s="31"/>
      <c r="I83" s="31"/>
      <c r="J83" s="31"/>
      <c r="K83" s="31"/>
      <c r="L83" s="31"/>
      <c r="M83" s="31"/>
      <c r="N83" s="3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ht="21.75" customHeight="1">
      <c r="A84" s="29"/>
      <c r="B84" s="30" t="s">
        <v>77</v>
      </c>
      <c r="C84" s="31" t="s">
        <v>76</v>
      </c>
      <c r="D84" s="31"/>
      <c r="E84" s="31"/>
      <c r="F84" s="31"/>
      <c r="G84" s="31"/>
      <c r="H84" s="31"/>
      <c r="I84" s="31"/>
      <c r="J84" s="31"/>
      <c r="K84" s="31"/>
      <c r="L84" s="31"/>
      <c r="M84" s="31"/>
      <c r="N84" s="3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ht="21.75" customHeight="1">
      <c r="A85" s="29"/>
      <c r="B85" s="30" t="s">
        <v>78</v>
      </c>
      <c r="C85" s="31" t="s">
        <v>76</v>
      </c>
      <c r="D85" s="31"/>
      <c r="E85" s="31"/>
      <c r="F85" s="31"/>
      <c r="G85" s="31"/>
      <c r="H85" s="31"/>
      <c r="I85" s="31"/>
      <c r="J85" s="31"/>
      <c r="K85" s="31"/>
      <c r="L85" s="31"/>
      <c r="M85" s="31"/>
      <c r="N85" s="3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ht="21.75" customHeight="1">
      <c r="A86" s="29"/>
      <c r="B86" s="30" t="s">
        <v>79</v>
      </c>
      <c r="C86" s="31" t="s">
        <v>74</v>
      </c>
      <c r="D86" s="31"/>
      <c r="E86" s="31"/>
      <c r="F86" s="31"/>
      <c r="G86" s="31"/>
      <c r="H86" s="31"/>
      <c r="I86" s="31"/>
      <c r="J86" s="31"/>
      <c r="K86" s="31"/>
      <c r="L86" s="31"/>
      <c r="M86" s="31"/>
      <c r="N86" s="3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ht="21.75" customHeight="1">
      <c r="A87" s="29"/>
      <c r="B87" s="30" t="s">
        <v>80</v>
      </c>
      <c r="C87" s="31" t="s">
        <v>76</v>
      </c>
      <c r="D87" s="31"/>
      <c r="E87" s="31"/>
      <c r="F87" s="31"/>
      <c r="G87" s="31"/>
      <c r="H87" s="31"/>
      <c r="I87" s="31"/>
      <c r="J87" s="31"/>
      <c r="K87" s="31"/>
      <c r="L87" s="31"/>
      <c r="M87" s="31"/>
      <c r="N87" s="3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ht="25.5" customHeight="1">
      <c r="A88" s="29"/>
      <c r="B88" s="33" t="s">
        <v>81</v>
      </c>
      <c r="C88" s="34" t="s">
        <v>82</v>
      </c>
      <c r="D88" s="34" t="str">
        <f t="shared" ref="D88:N88" si="9">IF(COUNT(D82:D87)&lt;6,"",TEXT(SUM(D82:D87),"0.0")&amp;"/10 | "&amp;IF(OR(D82=0,D84=0,SUM(D82:D87)&lt;6),"RED",IF(AND(SUM(D82:D87)&gt;=8,D82=1,D84=2),"GREEN","YELLOW")))</f>
        <v/>
      </c>
      <c r="E88" s="34" t="str">
        <f t="shared" si="9"/>
        <v/>
      </c>
      <c r="F88" s="34" t="str">
        <f t="shared" si="9"/>
        <v/>
      </c>
      <c r="G88" s="34" t="str">
        <f t="shared" si="9"/>
        <v/>
      </c>
      <c r="H88" s="34" t="str">
        <f t="shared" si="9"/>
        <v/>
      </c>
      <c r="I88" s="34" t="str">
        <f t="shared" si="9"/>
        <v/>
      </c>
      <c r="J88" s="34" t="str">
        <f t="shared" si="9"/>
        <v/>
      </c>
      <c r="K88" s="34" t="str">
        <f t="shared" si="9"/>
        <v/>
      </c>
      <c r="L88" s="34" t="str">
        <f t="shared" si="9"/>
        <v/>
      </c>
      <c r="M88" s="34" t="str">
        <f t="shared" si="9"/>
        <v/>
      </c>
      <c r="N88" s="35" t="str">
        <f t="shared" si="9"/>
        <v/>
      </c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ht="48.0" customHeight="1">
      <c r="A89" s="29"/>
      <c r="B89" s="36" t="s">
        <v>83</v>
      </c>
      <c r="C89" s="37" t="s">
        <v>61</v>
      </c>
      <c r="D89" s="38"/>
      <c r="E89" s="38"/>
      <c r="F89" s="38"/>
      <c r="G89" s="38"/>
      <c r="H89" s="38"/>
      <c r="I89" s="38"/>
      <c r="J89" s="38"/>
      <c r="K89" s="38"/>
      <c r="L89" s="38"/>
      <c r="M89" s="38"/>
      <c r="N89" s="39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ht="61.5" customHeight="1">
      <c r="A90" s="40" t="s">
        <v>180</v>
      </c>
      <c r="B90" s="25" t="s">
        <v>60</v>
      </c>
      <c r="C90" s="26" t="s">
        <v>61</v>
      </c>
      <c r="D90" s="27" t="s">
        <v>181</v>
      </c>
      <c r="E90" s="27" t="s">
        <v>182</v>
      </c>
      <c r="F90" s="27" t="s">
        <v>183</v>
      </c>
      <c r="G90" s="27" t="s">
        <v>184</v>
      </c>
      <c r="H90" s="27" t="s">
        <v>185</v>
      </c>
      <c r="I90" s="27" t="s">
        <v>186</v>
      </c>
      <c r="J90" s="27" t="s">
        <v>187</v>
      </c>
      <c r="K90" s="27" t="s">
        <v>188</v>
      </c>
      <c r="L90" s="27" t="s">
        <v>189</v>
      </c>
      <c r="M90" s="27" t="s">
        <v>190</v>
      </c>
      <c r="N90" s="28" t="s">
        <v>191</v>
      </c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</row>
    <row r="91" ht="21.75" customHeight="1">
      <c r="A91" s="41"/>
      <c r="B91" s="30" t="s">
        <v>73</v>
      </c>
      <c r="C91" s="31" t="s">
        <v>74</v>
      </c>
      <c r="D91" s="31"/>
      <c r="E91" s="31"/>
      <c r="F91" s="31"/>
      <c r="G91" s="31"/>
      <c r="H91" s="31"/>
      <c r="I91" s="31"/>
      <c r="J91" s="31"/>
      <c r="K91" s="31"/>
      <c r="L91" s="31"/>
      <c r="M91" s="31"/>
      <c r="N91" s="3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ht="21.75" customHeight="1">
      <c r="A92" s="41"/>
      <c r="B92" s="30" t="s">
        <v>75</v>
      </c>
      <c r="C92" s="31" t="s">
        <v>76</v>
      </c>
      <c r="D92" s="31"/>
      <c r="E92" s="31"/>
      <c r="F92" s="31"/>
      <c r="G92" s="31"/>
      <c r="H92" s="31"/>
      <c r="I92" s="31"/>
      <c r="J92" s="31"/>
      <c r="K92" s="31"/>
      <c r="L92" s="31"/>
      <c r="M92" s="31"/>
      <c r="N92" s="3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ht="21.75" customHeight="1">
      <c r="A93" s="41"/>
      <c r="B93" s="30" t="s">
        <v>77</v>
      </c>
      <c r="C93" s="31" t="s">
        <v>76</v>
      </c>
      <c r="D93" s="31"/>
      <c r="E93" s="31"/>
      <c r="F93" s="31"/>
      <c r="G93" s="31"/>
      <c r="H93" s="31"/>
      <c r="I93" s="31"/>
      <c r="J93" s="31"/>
      <c r="K93" s="31"/>
      <c r="L93" s="31"/>
      <c r="M93" s="31"/>
      <c r="N93" s="3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ht="21.75" customHeight="1">
      <c r="A94" s="41"/>
      <c r="B94" s="30" t="s">
        <v>78</v>
      </c>
      <c r="C94" s="31" t="s">
        <v>76</v>
      </c>
      <c r="D94" s="31"/>
      <c r="E94" s="31"/>
      <c r="F94" s="31"/>
      <c r="G94" s="31"/>
      <c r="H94" s="31"/>
      <c r="I94" s="31"/>
      <c r="J94" s="31"/>
      <c r="K94" s="31"/>
      <c r="L94" s="31"/>
      <c r="M94" s="31"/>
      <c r="N94" s="3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ht="21.75" customHeight="1">
      <c r="A95" s="41"/>
      <c r="B95" s="30" t="s">
        <v>79</v>
      </c>
      <c r="C95" s="31" t="s">
        <v>74</v>
      </c>
      <c r="D95" s="31"/>
      <c r="E95" s="31"/>
      <c r="F95" s="31"/>
      <c r="G95" s="31"/>
      <c r="H95" s="31"/>
      <c r="I95" s="31"/>
      <c r="J95" s="31"/>
      <c r="K95" s="31"/>
      <c r="L95" s="31"/>
      <c r="M95" s="31"/>
      <c r="N95" s="3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ht="21.75" customHeight="1">
      <c r="A96" s="41"/>
      <c r="B96" s="30" t="s">
        <v>80</v>
      </c>
      <c r="C96" s="31" t="s">
        <v>76</v>
      </c>
      <c r="D96" s="31"/>
      <c r="E96" s="31"/>
      <c r="F96" s="31"/>
      <c r="G96" s="31"/>
      <c r="H96" s="31"/>
      <c r="I96" s="31"/>
      <c r="J96" s="31"/>
      <c r="K96" s="31"/>
      <c r="L96" s="31"/>
      <c r="M96" s="31"/>
      <c r="N96" s="3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ht="25.5" customHeight="1">
      <c r="A97" s="41"/>
      <c r="B97" s="33" t="s">
        <v>81</v>
      </c>
      <c r="C97" s="34" t="s">
        <v>82</v>
      </c>
      <c r="D97" s="34" t="str">
        <f t="shared" ref="D97:N97" si="10">IF(COUNT(D91:D96)&lt;6,"",TEXT(SUM(D91:D96),"0.0")&amp;"/10 | "&amp;IF(OR(D91=0,D93=0,SUM(D91:D96)&lt;6),"RED",IF(AND(SUM(D91:D96)&gt;=8,D91=1,D93=2),"GREEN","YELLOW")))</f>
        <v/>
      </c>
      <c r="E97" s="34" t="str">
        <f t="shared" si="10"/>
        <v/>
      </c>
      <c r="F97" s="34" t="str">
        <f t="shared" si="10"/>
        <v/>
      </c>
      <c r="G97" s="34" t="str">
        <f t="shared" si="10"/>
        <v/>
      </c>
      <c r="H97" s="34" t="str">
        <f t="shared" si="10"/>
        <v/>
      </c>
      <c r="I97" s="34" t="str">
        <f t="shared" si="10"/>
        <v/>
      </c>
      <c r="J97" s="34" t="str">
        <f t="shared" si="10"/>
        <v/>
      </c>
      <c r="K97" s="34" t="str">
        <f t="shared" si="10"/>
        <v/>
      </c>
      <c r="L97" s="34" t="str">
        <f t="shared" si="10"/>
        <v/>
      </c>
      <c r="M97" s="34" t="str">
        <f t="shared" si="10"/>
        <v/>
      </c>
      <c r="N97" s="35" t="str">
        <f t="shared" si="10"/>
        <v/>
      </c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ht="48.0" customHeight="1">
      <c r="A98" s="41"/>
      <c r="B98" s="36" t="s">
        <v>83</v>
      </c>
      <c r="C98" s="37" t="s">
        <v>61</v>
      </c>
      <c r="D98" s="38"/>
      <c r="E98" s="38"/>
      <c r="F98" s="38"/>
      <c r="G98" s="38"/>
      <c r="H98" s="38"/>
      <c r="I98" s="38"/>
      <c r="J98" s="38"/>
      <c r="K98" s="38"/>
      <c r="L98" s="38"/>
      <c r="M98" s="38"/>
      <c r="N98" s="39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ht="61.5" customHeight="1">
      <c r="A99" s="24" t="s">
        <v>192</v>
      </c>
      <c r="B99" s="25" t="s">
        <v>60</v>
      </c>
      <c r="C99" s="26" t="s">
        <v>61</v>
      </c>
      <c r="D99" s="27" t="s">
        <v>193</v>
      </c>
      <c r="E99" s="27" t="s">
        <v>194</v>
      </c>
      <c r="F99" s="27" t="s">
        <v>195</v>
      </c>
      <c r="G99" s="27" t="s">
        <v>196</v>
      </c>
      <c r="H99" s="27" t="s">
        <v>197</v>
      </c>
      <c r="I99" s="27" t="s">
        <v>198</v>
      </c>
      <c r="J99" s="27" t="s">
        <v>199</v>
      </c>
      <c r="K99" s="27" t="s">
        <v>200</v>
      </c>
      <c r="L99" s="27" t="s">
        <v>201</v>
      </c>
      <c r="M99" s="27" t="s">
        <v>202</v>
      </c>
      <c r="N99" s="28" t="s">
        <v>203</v>
      </c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</row>
    <row r="100" ht="21.75" customHeight="1">
      <c r="A100" s="29"/>
      <c r="B100" s="30" t="s">
        <v>73</v>
      </c>
      <c r="C100" s="31" t="s">
        <v>74</v>
      </c>
      <c r="D100" s="31"/>
      <c r="E100" s="31"/>
      <c r="F100" s="31"/>
      <c r="G100" s="31"/>
      <c r="H100" s="31"/>
      <c r="I100" s="31"/>
      <c r="J100" s="31"/>
      <c r="K100" s="31"/>
      <c r="L100" s="31"/>
      <c r="M100" s="31"/>
      <c r="N100" s="3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ht="21.75" customHeight="1">
      <c r="A101" s="29"/>
      <c r="B101" s="30" t="s">
        <v>75</v>
      </c>
      <c r="C101" s="31" t="s">
        <v>76</v>
      </c>
      <c r="D101" s="31"/>
      <c r="E101" s="31"/>
      <c r="F101" s="31"/>
      <c r="G101" s="31"/>
      <c r="H101" s="31"/>
      <c r="I101" s="31"/>
      <c r="J101" s="31"/>
      <c r="K101" s="31"/>
      <c r="L101" s="31"/>
      <c r="M101" s="31"/>
      <c r="N101" s="3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ht="21.75" customHeight="1">
      <c r="A102" s="29"/>
      <c r="B102" s="30" t="s">
        <v>77</v>
      </c>
      <c r="C102" s="31" t="s">
        <v>76</v>
      </c>
      <c r="D102" s="31"/>
      <c r="E102" s="31"/>
      <c r="F102" s="31"/>
      <c r="G102" s="31"/>
      <c r="H102" s="31"/>
      <c r="I102" s="31"/>
      <c r="J102" s="31"/>
      <c r="K102" s="31"/>
      <c r="L102" s="31"/>
      <c r="M102" s="31"/>
      <c r="N102" s="3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ht="21.75" customHeight="1">
      <c r="A103" s="29"/>
      <c r="B103" s="30" t="s">
        <v>78</v>
      </c>
      <c r="C103" s="31" t="s">
        <v>76</v>
      </c>
      <c r="D103" s="31"/>
      <c r="E103" s="31"/>
      <c r="F103" s="31"/>
      <c r="G103" s="31"/>
      <c r="H103" s="31"/>
      <c r="I103" s="31"/>
      <c r="J103" s="31"/>
      <c r="K103" s="31"/>
      <c r="L103" s="31"/>
      <c r="M103" s="31"/>
      <c r="N103" s="3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ht="21.75" customHeight="1">
      <c r="A104" s="29"/>
      <c r="B104" s="30" t="s">
        <v>79</v>
      </c>
      <c r="C104" s="31" t="s">
        <v>74</v>
      </c>
      <c r="D104" s="31"/>
      <c r="E104" s="31"/>
      <c r="F104" s="31"/>
      <c r="G104" s="31"/>
      <c r="H104" s="31"/>
      <c r="I104" s="31"/>
      <c r="J104" s="31"/>
      <c r="K104" s="31"/>
      <c r="L104" s="31"/>
      <c r="M104" s="31"/>
      <c r="N104" s="3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ht="21.75" customHeight="1">
      <c r="A105" s="29"/>
      <c r="B105" s="30" t="s">
        <v>80</v>
      </c>
      <c r="C105" s="31" t="s">
        <v>76</v>
      </c>
      <c r="D105" s="31"/>
      <c r="E105" s="31"/>
      <c r="F105" s="31"/>
      <c r="G105" s="31"/>
      <c r="H105" s="31"/>
      <c r="I105" s="31"/>
      <c r="J105" s="31"/>
      <c r="K105" s="31"/>
      <c r="L105" s="31"/>
      <c r="M105" s="31"/>
      <c r="N105" s="3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ht="25.5" customHeight="1">
      <c r="A106" s="29"/>
      <c r="B106" s="33" t="s">
        <v>81</v>
      </c>
      <c r="C106" s="34" t="s">
        <v>82</v>
      </c>
      <c r="D106" s="34" t="str">
        <f t="shared" ref="D106:N106" si="11">IF(COUNT(D100:D105)&lt;6,"",TEXT(SUM(D100:D105),"0.0")&amp;"/10 | "&amp;IF(OR(D100=0,D102=0,SUM(D100:D105)&lt;6),"RED",IF(AND(SUM(D100:D105)&gt;=8,D100=1,D102=2),"GREEN","YELLOW")))</f>
        <v/>
      </c>
      <c r="E106" s="34" t="str">
        <f t="shared" si="11"/>
        <v/>
      </c>
      <c r="F106" s="34" t="str">
        <f t="shared" si="11"/>
        <v/>
      </c>
      <c r="G106" s="34" t="str">
        <f t="shared" si="11"/>
        <v/>
      </c>
      <c r="H106" s="34" t="str">
        <f t="shared" si="11"/>
        <v/>
      </c>
      <c r="I106" s="34" t="str">
        <f t="shared" si="11"/>
        <v/>
      </c>
      <c r="J106" s="34" t="str">
        <f t="shared" si="11"/>
        <v/>
      </c>
      <c r="K106" s="34" t="str">
        <f t="shared" si="11"/>
        <v/>
      </c>
      <c r="L106" s="34" t="str">
        <f t="shared" si="11"/>
        <v/>
      </c>
      <c r="M106" s="34" t="str">
        <f t="shared" si="11"/>
        <v/>
      </c>
      <c r="N106" s="35" t="str">
        <f t="shared" si="11"/>
        <v/>
      </c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ht="48.0" customHeight="1">
      <c r="A107" s="29"/>
      <c r="B107" s="36" t="s">
        <v>83</v>
      </c>
      <c r="C107" s="37" t="s">
        <v>61</v>
      </c>
      <c r="D107" s="38"/>
      <c r="E107" s="38"/>
      <c r="F107" s="38"/>
      <c r="G107" s="38"/>
      <c r="H107" s="38"/>
      <c r="I107" s="38"/>
      <c r="J107" s="38"/>
      <c r="K107" s="38"/>
      <c r="L107" s="38"/>
      <c r="M107" s="38"/>
      <c r="N107" s="39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ht="61.5" customHeight="1">
      <c r="A108" s="40" t="s">
        <v>204</v>
      </c>
      <c r="B108" s="25" t="s">
        <v>60</v>
      </c>
      <c r="C108" s="26" t="s">
        <v>61</v>
      </c>
      <c r="D108" s="27" t="s">
        <v>205</v>
      </c>
      <c r="E108" s="27" t="s">
        <v>206</v>
      </c>
      <c r="F108" s="27" t="s">
        <v>207</v>
      </c>
      <c r="G108" s="27" t="s">
        <v>208</v>
      </c>
      <c r="H108" s="27" t="s">
        <v>209</v>
      </c>
      <c r="I108" s="27" t="s">
        <v>210</v>
      </c>
      <c r="J108" s="27" t="s">
        <v>211</v>
      </c>
      <c r="K108" s="27" t="s">
        <v>212</v>
      </c>
      <c r="L108" s="27" t="s">
        <v>213</v>
      </c>
      <c r="M108" s="27" t="s">
        <v>214</v>
      </c>
      <c r="N108" s="28" t="s">
        <v>215</v>
      </c>
      <c r="O108" s="8"/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</row>
    <row r="109" ht="21.75" customHeight="1">
      <c r="A109" s="41"/>
      <c r="B109" s="30" t="s">
        <v>73</v>
      </c>
      <c r="C109" s="31" t="s">
        <v>74</v>
      </c>
      <c r="D109" s="31"/>
      <c r="E109" s="31"/>
      <c r="F109" s="31"/>
      <c r="G109" s="31"/>
      <c r="H109" s="31"/>
      <c r="I109" s="31"/>
      <c r="J109" s="31"/>
      <c r="K109" s="31"/>
      <c r="L109" s="31"/>
      <c r="M109" s="31"/>
      <c r="N109" s="3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ht="21.75" customHeight="1">
      <c r="A110" s="41"/>
      <c r="B110" s="30" t="s">
        <v>75</v>
      </c>
      <c r="C110" s="31" t="s">
        <v>76</v>
      </c>
      <c r="D110" s="31"/>
      <c r="E110" s="31"/>
      <c r="F110" s="31"/>
      <c r="G110" s="31"/>
      <c r="H110" s="31"/>
      <c r="I110" s="31"/>
      <c r="J110" s="31"/>
      <c r="K110" s="31"/>
      <c r="L110" s="31"/>
      <c r="M110" s="31"/>
      <c r="N110" s="3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ht="21.75" customHeight="1">
      <c r="A111" s="41"/>
      <c r="B111" s="30" t="s">
        <v>77</v>
      </c>
      <c r="C111" s="31" t="s">
        <v>76</v>
      </c>
      <c r="D111" s="31"/>
      <c r="E111" s="31"/>
      <c r="F111" s="31"/>
      <c r="G111" s="31"/>
      <c r="H111" s="31"/>
      <c r="I111" s="31"/>
      <c r="J111" s="31"/>
      <c r="K111" s="31"/>
      <c r="L111" s="31"/>
      <c r="M111" s="31"/>
      <c r="N111" s="3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ht="21.75" customHeight="1">
      <c r="A112" s="41"/>
      <c r="B112" s="30" t="s">
        <v>78</v>
      </c>
      <c r="C112" s="31" t="s">
        <v>76</v>
      </c>
      <c r="D112" s="31"/>
      <c r="E112" s="31"/>
      <c r="F112" s="31"/>
      <c r="G112" s="31"/>
      <c r="H112" s="31"/>
      <c r="I112" s="31"/>
      <c r="J112" s="31"/>
      <c r="K112" s="31"/>
      <c r="L112" s="31"/>
      <c r="M112" s="31"/>
      <c r="N112" s="3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ht="21.75" customHeight="1">
      <c r="A113" s="41"/>
      <c r="B113" s="30" t="s">
        <v>79</v>
      </c>
      <c r="C113" s="31" t="s">
        <v>74</v>
      </c>
      <c r="D113" s="31"/>
      <c r="E113" s="31"/>
      <c r="F113" s="31"/>
      <c r="G113" s="31"/>
      <c r="H113" s="31"/>
      <c r="I113" s="31"/>
      <c r="J113" s="31"/>
      <c r="K113" s="31"/>
      <c r="L113" s="31"/>
      <c r="M113" s="31"/>
      <c r="N113" s="3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ht="21.75" customHeight="1">
      <c r="A114" s="41"/>
      <c r="B114" s="30" t="s">
        <v>80</v>
      </c>
      <c r="C114" s="31" t="s">
        <v>76</v>
      </c>
      <c r="D114" s="31"/>
      <c r="E114" s="31"/>
      <c r="F114" s="31"/>
      <c r="G114" s="31"/>
      <c r="H114" s="31"/>
      <c r="I114" s="31"/>
      <c r="J114" s="31"/>
      <c r="K114" s="31"/>
      <c r="L114" s="31"/>
      <c r="M114" s="31"/>
      <c r="N114" s="3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ht="25.5" customHeight="1">
      <c r="A115" s="41"/>
      <c r="B115" s="33" t="s">
        <v>81</v>
      </c>
      <c r="C115" s="34" t="s">
        <v>82</v>
      </c>
      <c r="D115" s="34" t="str">
        <f t="shared" ref="D115:N115" si="12">IF(COUNT(D109:D114)&lt;6,"",TEXT(SUM(D109:D114),"0.0")&amp;"/10 | "&amp;IF(OR(D109=0,D111=0,SUM(D109:D114)&lt;6),"RED",IF(AND(SUM(D109:D114)&gt;=8,D109=1,D111=2),"GREEN","YELLOW")))</f>
        <v/>
      </c>
      <c r="E115" s="34" t="str">
        <f t="shared" si="12"/>
        <v/>
      </c>
      <c r="F115" s="34" t="str">
        <f t="shared" si="12"/>
        <v/>
      </c>
      <c r="G115" s="34" t="str">
        <f t="shared" si="12"/>
        <v/>
      </c>
      <c r="H115" s="34" t="str">
        <f t="shared" si="12"/>
        <v/>
      </c>
      <c r="I115" s="34" t="str">
        <f t="shared" si="12"/>
        <v/>
      </c>
      <c r="J115" s="34" t="str">
        <f t="shared" si="12"/>
        <v/>
      </c>
      <c r="K115" s="34" t="str">
        <f t="shared" si="12"/>
        <v/>
      </c>
      <c r="L115" s="34" t="str">
        <f t="shared" si="12"/>
        <v/>
      </c>
      <c r="M115" s="34" t="str">
        <f t="shared" si="12"/>
        <v/>
      </c>
      <c r="N115" s="35" t="str">
        <f t="shared" si="12"/>
        <v/>
      </c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ht="48.0" customHeight="1">
      <c r="A116" s="41"/>
      <c r="B116" s="36" t="s">
        <v>83</v>
      </c>
      <c r="C116" s="37" t="s">
        <v>61</v>
      </c>
      <c r="D116" s="38"/>
      <c r="E116" s="38"/>
      <c r="F116" s="38"/>
      <c r="G116" s="38"/>
      <c r="H116" s="38"/>
      <c r="I116" s="38"/>
      <c r="J116" s="38"/>
      <c r="K116" s="38"/>
      <c r="L116" s="38"/>
      <c r="M116" s="38"/>
      <c r="N116" s="39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ht="61.5" customHeight="1">
      <c r="A117" s="24" t="s">
        <v>216</v>
      </c>
      <c r="B117" s="25" t="s">
        <v>60</v>
      </c>
      <c r="C117" s="26" t="s">
        <v>61</v>
      </c>
      <c r="D117" s="27" t="s">
        <v>217</v>
      </c>
      <c r="E117" s="27" t="s">
        <v>218</v>
      </c>
      <c r="F117" s="27" t="s">
        <v>219</v>
      </c>
      <c r="G117" s="27" t="s">
        <v>220</v>
      </c>
      <c r="H117" s="27" t="s">
        <v>221</v>
      </c>
      <c r="I117" s="27" t="s">
        <v>222</v>
      </c>
      <c r="J117" s="27" t="s">
        <v>223</v>
      </c>
      <c r="K117" s="27" t="s">
        <v>224</v>
      </c>
      <c r="L117" s="27" t="s">
        <v>225</v>
      </c>
      <c r="M117" s="27" t="s">
        <v>226</v>
      </c>
      <c r="N117" s="28" t="s">
        <v>227</v>
      </c>
      <c r="O117" s="8"/>
      <c r="P117" s="8"/>
      <c r="Q117" s="8"/>
      <c r="R117" s="8"/>
      <c r="S117" s="8"/>
      <c r="T117" s="8"/>
      <c r="U117" s="8"/>
      <c r="V117" s="8"/>
      <c r="W117" s="8"/>
      <c r="X117" s="8"/>
      <c r="Y117" s="8"/>
      <c r="Z117" s="8"/>
    </row>
    <row r="118" ht="21.75" customHeight="1">
      <c r="A118" s="29"/>
      <c r="B118" s="30" t="s">
        <v>73</v>
      </c>
      <c r="C118" s="31" t="s">
        <v>74</v>
      </c>
      <c r="D118" s="31"/>
      <c r="E118" s="31"/>
      <c r="F118" s="31"/>
      <c r="G118" s="31"/>
      <c r="H118" s="31"/>
      <c r="I118" s="31"/>
      <c r="J118" s="31"/>
      <c r="K118" s="31"/>
      <c r="L118" s="31"/>
      <c r="M118" s="31"/>
      <c r="N118" s="3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ht="21.75" customHeight="1">
      <c r="A119" s="29"/>
      <c r="B119" s="30" t="s">
        <v>75</v>
      </c>
      <c r="C119" s="31" t="s">
        <v>76</v>
      </c>
      <c r="D119" s="31"/>
      <c r="E119" s="31"/>
      <c r="F119" s="31"/>
      <c r="G119" s="31"/>
      <c r="H119" s="31"/>
      <c r="I119" s="31"/>
      <c r="J119" s="31"/>
      <c r="K119" s="31"/>
      <c r="L119" s="31"/>
      <c r="M119" s="31"/>
      <c r="N119" s="3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ht="21.75" customHeight="1">
      <c r="A120" s="29"/>
      <c r="B120" s="30" t="s">
        <v>77</v>
      </c>
      <c r="C120" s="31" t="s">
        <v>76</v>
      </c>
      <c r="D120" s="31"/>
      <c r="E120" s="31"/>
      <c r="F120" s="31"/>
      <c r="G120" s="31"/>
      <c r="H120" s="31"/>
      <c r="I120" s="31"/>
      <c r="J120" s="31"/>
      <c r="K120" s="31"/>
      <c r="L120" s="31"/>
      <c r="M120" s="31"/>
      <c r="N120" s="3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ht="21.75" customHeight="1">
      <c r="A121" s="29"/>
      <c r="B121" s="30" t="s">
        <v>78</v>
      </c>
      <c r="C121" s="31" t="s">
        <v>76</v>
      </c>
      <c r="D121" s="31"/>
      <c r="E121" s="31"/>
      <c r="F121" s="31"/>
      <c r="G121" s="31"/>
      <c r="H121" s="31"/>
      <c r="I121" s="31"/>
      <c r="J121" s="31"/>
      <c r="K121" s="31"/>
      <c r="L121" s="31"/>
      <c r="M121" s="31"/>
      <c r="N121" s="3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ht="21.75" customHeight="1">
      <c r="A122" s="29"/>
      <c r="B122" s="30" t="s">
        <v>79</v>
      </c>
      <c r="C122" s="31" t="s">
        <v>74</v>
      </c>
      <c r="D122" s="31"/>
      <c r="E122" s="31"/>
      <c r="F122" s="31"/>
      <c r="G122" s="31"/>
      <c r="H122" s="31"/>
      <c r="I122" s="31"/>
      <c r="J122" s="31"/>
      <c r="K122" s="31"/>
      <c r="L122" s="31"/>
      <c r="M122" s="31"/>
      <c r="N122" s="3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ht="21.75" customHeight="1">
      <c r="A123" s="29"/>
      <c r="B123" s="30" t="s">
        <v>80</v>
      </c>
      <c r="C123" s="31" t="s">
        <v>76</v>
      </c>
      <c r="D123" s="31"/>
      <c r="E123" s="31"/>
      <c r="F123" s="31"/>
      <c r="G123" s="31"/>
      <c r="H123" s="31"/>
      <c r="I123" s="31"/>
      <c r="J123" s="31"/>
      <c r="K123" s="31"/>
      <c r="L123" s="31"/>
      <c r="M123" s="31"/>
      <c r="N123" s="3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ht="25.5" customHeight="1">
      <c r="A124" s="29"/>
      <c r="B124" s="33" t="s">
        <v>81</v>
      </c>
      <c r="C124" s="34" t="s">
        <v>82</v>
      </c>
      <c r="D124" s="34" t="str">
        <f t="shared" ref="D124:N124" si="13">IF(COUNT(D118:D123)&lt;6,"",TEXT(SUM(D118:D123),"0.0")&amp;"/10 | "&amp;IF(OR(D118=0,D120=0,SUM(D118:D123)&lt;6),"RED",IF(AND(SUM(D118:D123)&gt;=8,D118=1,D120=2),"GREEN","YELLOW")))</f>
        <v/>
      </c>
      <c r="E124" s="34" t="str">
        <f t="shared" si="13"/>
        <v/>
      </c>
      <c r="F124" s="34" t="str">
        <f t="shared" si="13"/>
        <v/>
      </c>
      <c r="G124" s="34" t="str">
        <f t="shared" si="13"/>
        <v/>
      </c>
      <c r="H124" s="34" t="str">
        <f t="shared" si="13"/>
        <v/>
      </c>
      <c r="I124" s="34" t="str">
        <f t="shared" si="13"/>
        <v/>
      </c>
      <c r="J124" s="34" t="str">
        <f t="shared" si="13"/>
        <v/>
      </c>
      <c r="K124" s="34" t="str">
        <f t="shared" si="13"/>
        <v/>
      </c>
      <c r="L124" s="34" t="str">
        <f t="shared" si="13"/>
        <v/>
      </c>
      <c r="M124" s="34" t="str">
        <f t="shared" si="13"/>
        <v/>
      </c>
      <c r="N124" s="35" t="str">
        <f t="shared" si="13"/>
        <v/>
      </c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ht="48.0" customHeight="1">
      <c r="A125" s="29"/>
      <c r="B125" s="36" t="s">
        <v>83</v>
      </c>
      <c r="C125" s="37" t="s">
        <v>61</v>
      </c>
      <c r="D125" s="38"/>
      <c r="E125" s="38"/>
      <c r="F125" s="38"/>
      <c r="G125" s="38"/>
      <c r="H125" s="38"/>
      <c r="I125" s="38"/>
      <c r="J125" s="38"/>
      <c r="K125" s="38"/>
      <c r="L125" s="38"/>
      <c r="M125" s="38"/>
      <c r="N125" s="39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ht="61.5" customHeight="1">
      <c r="A126" s="40" t="s">
        <v>228</v>
      </c>
      <c r="B126" s="25" t="s">
        <v>60</v>
      </c>
      <c r="C126" s="26" t="s">
        <v>61</v>
      </c>
      <c r="D126" s="27" t="s">
        <v>229</v>
      </c>
      <c r="E126" s="27" t="s">
        <v>230</v>
      </c>
      <c r="F126" s="27" t="s">
        <v>231</v>
      </c>
      <c r="G126" s="27" t="s">
        <v>232</v>
      </c>
      <c r="H126" s="27" t="s">
        <v>233</v>
      </c>
      <c r="I126" s="27" t="s">
        <v>234</v>
      </c>
      <c r="J126" s="27" t="s">
        <v>235</v>
      </c>
      <c r="K126" s="27" t="s">
        <v>236</v>
      </c>
      <c r="L126" s="27" t="s">
        <v>237</v>
      </c>
      <c r="M126" s="27" t="s">
        <v>238</v>
      </c>
      <c r="N126" s="28" t="s">
        <v>239</v>
      </c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</row>
    <row r="127" ht="21.75" customHeight="1">
      <c r="A127" s="41"/>
      <c r="B127" s="30" t="s">
        <v>73</v>
      </c>
      <c r="C127" s="31" t="s">
        <v>74</v>
      </c>
      <c r="D127" s="31"/>
      <c r="E127" s="31"/>
      <c r="F127" s="31"/>
      <c r="G127" s="31"/>
      <c r="H127" s="31"/>
      <c r="I127" s="31"/>
      <c r="J127" s="31"/>
      <c r="K127" s="31"/>
      <c r="L127" s="31"/>
      <c r="M127" s="31"/>
      <c r="N127" s="3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ht="21.75" customHeight="1">
      <c r="A128" s="41"/>
      <c r="B128" s="30" t="s">
        <v>75</v>
      </c>
      <c r="C128" s="31" t="s">
        <v>76</v>
      </c>
      <c r="D128" s="31"/>
      <c r="E128" s="31"/>
      <c r="F128" s="31"/>
      <c r="G128" s="31"/>
      <c r="H128" s="31"/>
      <c r="I128" s="31"/>
      <c r="J128" s="31"/>
      <c r="K128" s="31"/>
      <c r="L128" s="31"/>
      <c r="M128" s="31"/>
      <c r="N128" s="3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ht="21.75" customHeight="1">
      <c r="A129" s="41"/>
      <c r="B129" s="30" t="s">
        <v>77</v>
      </c>
      <c r="C129" s="31" t="s">
        <v>76</v>
      </c>
      <c r="D129" s="31"/>
      <c r="E129" s="31"/>
      <c r="F129" s="31"/>
      <c r="G129" s="31"/>
      <c r="H129" s="31"/>
      <c r="I129" s="31"/>
      <c r="J129" s="31"/>
      <c r="K129" s="31"/>
      <c r="L129" s="31"/>
      <c r="M129" s="31"/>
      <c r="N129" s="3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ht="21.75" customHeight="1">
      <c r="A130" s="41"/>
      <c r="B130" s="30" t="s">
        <v>78</v>
      </c>
      <c r="C130" s="31" t="s">
        <v>76</v>
      </c>
      <c r="D130" s="31"/>
      <c r="E130" s="31"/>
      <c r="F130" s="31"/>
      <c r="G130" s="31"/>
      <c r="H130" s="31"/>
      <c r="I130" s="31"/>
      <c r="J130" s="31"/>
      <c r="K130" s="31"/>
      <c r="L130" s="31"/>
      <c r="M130" s="31"/>
      <c r="N130" s="3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ht="21.75" customHeight="1">
      <c r="A131" s="41"/>
      <c r="B131" s="30" t="s">
        <v>79</v>
      </c>
      <c r="C131" s="31" t="s">
        <v>74</v>
      </c>
      <c r="D131" s="31"/>
      <c r="E131" s="31"/>
      <c r="F131" s="31"/>
      <c r="G131" s="31"/>
      <c r="H131" s="31"/>
      <c r="I131" s="31"/>
      <c r="J131" s="31"/>
      <c r="K131" s="31"/>
      <c r="L131" s="31"/>
      <c r="M131" s="31"/>
      <c r="N131" s="3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ht="21.75" customHeight="1">
      <c r="A132" s="41"/>
      <c r="B132" s="30" t="s">
        <v>80</v>
      </c>
      <c r="C132" s="31" t="s">
        <v>76</v>
      </c>
      <c r="D132" s="31"/>
      <c r="E132" s="31"/>
      <c r="F132" s="31"/>
      <c r="G132" s="31"/>
      <c r="H132" s="31"/>
      <c r="I132" s="31"/>
      <c r="J132" s="31"/>
      <c r="K132" s="31"/>
      <c r="L132" s="31"/>
      <c r="M132" s="31"/>
      <c r="N132" s="3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ht="25.5" customHeight="1">
      <c r="A133" s="41"/>
      <c r="B133" s="33" t="s">
        <v>81</v>
      </c>
      <c r="C133" s="34" t="s">
        <v>82</v>
      </c>
      <c r="D133" s="34" t="str">
        <f t="shared" ref="D133:N133" si="14">IF(COUNT(D127:D132)&lt;6,"",TEXT(SUM(D127:D132),"0.0")&amp;"/10 | "&amp;IF(OR(D127=0,D129=0,SUM(D127:D132)&lt;6),"RED",IF(AND(SUM(D127:D132)&gt;=8,D127=1,D129=2),"GREEN","YELLOW")))</f>
        <v/>
      </c>
      <c r="E133" s="34" t="str">
        <f t="shared" si="14"/>
        <v/>
      </c>
      <c r="F133" s="34" t="str">
        <f t="shared" si="14"/>
        <v/>
      </c>
      <c r="G133" s="34" t="str">
        <f t="shared" si="14"/>
        <v/>
      </c>
      <c r="H133" s="34" t="str">
        <f t="shared" si="14"/>
        <v/>
      </c>
      <c r="I133" s="34" t="str">
        <f t="shared" si="14"/>
        <v/>
      </c>
      <c r="J133" s="34" t="str">
        <f t="shared" si="14"/>
        <v/>
      </c>
      <c r="K133" s="34" t="str">
        <f t="shared" si="14"/>
        <v/>
      </c>
      <c r="L133" s="34" t="str">
        <f t="shared" si="14"/>
        <v/>
      </c>
      <c r="M133" s="34" t="str">
        <f t="shared" si="14"/>
        <v/>
      </c>
      <c r="N133" s="35" t="str">
        <f t="shared" si="14"/>
        <v/>
      </c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ht="48.0" customHeight="1">
      <c r="A134" s="43"/>
      <c r="B134" s="44" t="s">
        <v>83</v>
      </c>
      <c r="C134" s="45" t="s">
        <v>61</v>
      </c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7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ht="15.75" customHeight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ht="15.75" customHeight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ht="15.75" customHeigh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ht="15.75" customHeight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ht="15.75" customHeight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ht="15.75" customHeight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ht="15.75" customHeight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ht="15.75" customHeight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ht="15.75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ht="15.7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ht="15.75" customHeight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ht="15.75" customHeight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ht="15.75" customHeigh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ht="15.75" customHeight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ht="15.75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ht="15.7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ht="15.75" customHeight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ht="15.75" customHeight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ht="15.75" customHeigh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ht="15.75" customHeight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ht="15.7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ht="15.7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ht="15.75" customHeigh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ht="15.75" customHeight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ht="15.75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ht="15.7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ht="15.75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ht="15.7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ht="15.75" customHeight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ht="15.75" customHeight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ht="15.75" customHeight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ht="15.75" customHeigh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ht="15.75" customHeigh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ht="15.75" customHeigh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ht="15.75" customHeigh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ht="15.75" customHeigh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ht="15.75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ht="15.7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ht="15.75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ht="15.75" customHeigh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ht="15.75" customHeigh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ht="15.75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ht="15.75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ht="15.7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ht="15.75" customHeigh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ht="15.75" customHeigh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ht="15.75" customHeigh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ht="15.75" customHeigh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ht="15.75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ht="15.7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ht="15.75" customHeigh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ht="15.75" customHeigh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ht="15.75" customHeigh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ht="15.75" customHeigh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ht="15.75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ht="15.7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ht="15.75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ht="15.75" customHeigh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ht="15.75" customHeigh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ht="15.75" customHeigh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ht="15.75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ht="15.75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ht="15.75" customHeigh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ht="15.75" customHeigh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ht="15.75" customHeigh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ht="15.75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ht="15.75" customHeight="1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ht="15.75" customHeight="1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ht="15.75" customHeight="1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ht="15.75" customHeight="1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ht="15.75" customHeight="1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ht="15.75" customHeight="1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ht="15.75" customHeight="1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ht="15.75" customHeight="1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ht="15.75" customHeight="1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ht="15.75" customHeight="1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ht="15.75" customHeight="1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ht="15.75" customHeight="1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ht="15.75" customHeight="1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ht="15.75" customHeight="1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ht="15.75" customHeight="1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ht="15.75" customHeight="1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ht="15.75" customHeight="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ht="15.75" customHeight="1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ht="15.75" customHeight="1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ht="15.75" customHeight="1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ht="15.75" customHeight="1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ht="15.75" customHeight="1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ht="15.75" customHeight="1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ht="15.75" customHeight="1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ht="15.75" customHeight="1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ht="15.75" customHeight="1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ht="15.75" customHeight="1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ht="15.75" customHeight="1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ht="15.75" customHeight="1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ht="15.75" customHeight="1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ht="15.75" customHeight="1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ht="15.75" customHeight="1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ht="15.75" customHeight="1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ht="15.75" customHeight="1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ht="15.75" customHeight="1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ht="15.75" customHeight="1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ht="15.75" customHeight="1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ht="15.75" customHeight="1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ht="15.75" customHeight="1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ht="15.75" customHeight="1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ht="15.75" customHeight="1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ht="15.75" customHeight="1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ht="15.75" customHeight="1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ht="15.75" customHeight="1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ht="15.75" customHeight="1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ht="15.75" customHeight="1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ht="15.75" customHeight="1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ht="15.75" customHeight="1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ht="15.75" customHeight="1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ht="15.75" customHeight="1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ht="15.75" customHeight="1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ht="15.75" customHeight="1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ht="15.75" customHeight="1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ht="15.75" customHeight="1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ht="15.75" customHeight="1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ht="15.75" customHeight="1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ht="15.75" customHeight="1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ht="15.75" customHeight="1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ht="15.75" customHeight="1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ht="15.75" customHeight="1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ht="15.75" customHeight="1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ht="15.75" customHeight="1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ht="15.75" customHeight="1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ht="15.75" customHeight="1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ht="15.75" customHeight="1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ht="15.75" customHeight="1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ht="15.75" customHeight="1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ht="15.75" customHeight="1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ht="15.75" customHeight="1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ht="15.75" customHeight="1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ht="15.75" customHeight="1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ht="15.75" customHeight="1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ht="15.75" customHeight="1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ht="15.75" customHeight="1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ht="15.75" customHeight="1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ht="15.75" customHeight="1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ht="15.75" customHeight="1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ht="15.75" customHeight="1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ht="15.75" customHeight="1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ht="15.75" customHeight="1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ht="15.75" customHeight="1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ht="15.75" customHeight="1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ht="15.75" customHeight="1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ht="15.75" customHeight="1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ht="15.75" customHeight="1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ht="15.75" customHeight="1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ht="15.75" customHeight="1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ht="15.75" customHeight="1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ht="15.75" customHeight="1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ht="15.75" customHeight="1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ht="15.75" customHeight="1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ht="15.75" customHeight="1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ht="15.75" customHeight="1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ht="15.75" customHeight="1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ht="15.75" customHeight="1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ht="15.75" customHeight="1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ht="15.75" customHeight="1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ht="15.75" customHeight="1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ht="15.75" customHeight="1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ht="15.75" customHeight="1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ht="15.75" customHeight="1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ht="15.75" customHeight="1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ht="15.75" customHeight="1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ht="15.75" customHeight="1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ht="15.75" customHeight="1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ht="15.75" customHeight="1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ht="15.75" customHeight="1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ht="15.75" customHeight="1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ht="15.75" customHeight="1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ht="15.75" customHeight="1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ht="15.75" customHeight="1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ht="15.75" customHeight="1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ht="15.75" customHeight="1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ht="15.75" customHeight="1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ht="15.75" customHeight="1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ht="15.75" customHeight="1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ht="15.75" customHeight="1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ht="15.75" customHeight="1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ht="15.75" customHeight="1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ht="15.75" customHeight="1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ht="15.75" customHeight="1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ht="15.75" customHeight="1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ht="15.75" customHeight="1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ht="15.75" customHeight="1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ht="15.75" customHeight="1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ht="15.75" customHeight="1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ht="15.75" customHeight="1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ht="15.75" customHeight="1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ht="15.75" customHeight="1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ht="15.75" customHeight="1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ht="15.75" customHeight="1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ht="15.75" customHeight="1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ht="15.75" customHeight="1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ht="15.75" customHeight="1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ht="15.75" customHeight="1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ht="15.75" customHeight="1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ht="15.75" customHeight="1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ht="15.75" customHeight="1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ht="15.75" customHeight="1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ht="15.75" customHeight="1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ht="15.75" customHeight="1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ht="15.75" customHeight="1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ht="15.75" customHeight="1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ht="15.75" customHeight="1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ht="15.75" customHeight="1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ht="15.75" customHeight="1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ht="15.75" customHeight="1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ht="15.75" customHeight="1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ht="15.75" customHeight="1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ht="15.75" customHeight="1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ht="15.75" customHeight="1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ht="15.75" customHeight="1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ht="15.75" customHeight="1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ht="15.75" customHeight="1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ht="15.75" customHeight="1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ht="15.75" customHeight="1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ht="15.75" customHeight="1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ht="15.75" customHeight="1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ht="15.75" customHeight="1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ht="15.75" customHeight="1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ht="15.75" customHeight="1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ht="15.75" customHeight="1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ht="15.75" customHeight="1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ht="15.75" customHeight="1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ht="15.75" customHeight="1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ht="15.75" customHeight="1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ht="15.75" customHeight="1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ht="15.75" customHeight="1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ht="15.75" customHeight="1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ht="15.75" customHeight="1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ht="15.75" customHeight="1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ht="15.75" customHeight="1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ht="15.75" customHeight="1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ht="15.75" customHeight="1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ht="15.75" customHeight="1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ht="15.75" customHeight="1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ht="15.75" customHeight="1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ht="15.75" customHeight="1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ht="15.75" customHeight="1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ht="15.75" customHeight="1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ht="15.75" customHeight="1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ht="15.75" customHeight="1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ht="15.75" customHeight="1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ht="15.75" customHeight="1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ht="15.75" customHeight="1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ht="15.75" customHeight="1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ht="15.75" customHeight="1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ht="15.75" customHeight="1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ht="15.75" customHeight="1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ht="15.75" customHeight="1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ht="15.75" customHeight="1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ht="15.75" customHeight="1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ht="15.75" customHeight="1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ht="15.75" customHeight="1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ht="15.75" customHeight="1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ht="15.75" customHeight="1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ht="15.75" customHeight="1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ht="15.75" customHeight="1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ht="15.75" customHeight="1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ht="15.75" customHeight="1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ht="15.75" customHeight="1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ht="15.75" customHeight="1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ht="15.75" customHeight="1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ht="15.75" customHeight="1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ht="15.75" customHeight="1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ht="15.75" customHeight="1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ht="15.75" customHeight="1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ht="15.75" customHeight="1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ht="15.75" customHeight="1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ht="15.75" customHeight="1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ht="15.75" customHeight="1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ht="15.75" customHeight="1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ht="15.75" customHeight="1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ht="15.75" customHeight="1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ht="15.75" customHeight="1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ht="15.75" customHeight="1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ht="15.75" customHeight="1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ht="15.75" customHeight="1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ht="15.75" customHeight="1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ht="15.75" customHeight="1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ht="15.75" customHeight="1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ht="15.75" customHeight="1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ht="15.75" customHeight="1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ht="15.75" customHeight="1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ht="15.75" customHeight="1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ht="15.75" customHeight="1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ht="15.75" customHeight="1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ht="15.75" customHeight="1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ht="15.75" customHeight="1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ht="15.75" customHeight="1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ht="15.75" customHeight="1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ht="15.75" customHeight="1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ht="15.75" customHeight="1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ht="15.75" customHeight="1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ht="15.75" customHeight="1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ht="15.75" customHeight="1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ht="15.75" customHeight="1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ht="15.75" customHeight="1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ht="15.75" customHeight="1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ht="15.75" customHeight="1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ht="15.75" customHeight="1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ht="15.75" customHeight="1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ht="15.75" customHeight="1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ht="15.75" customHeight="1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ht="15.75" customHeight="1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ht="15.75" customHeight="1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ht="15.75" customHeight="1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ht="15.75" customHeight="1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ht="15.75" customHeight="1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ht="15.75" customHeight="1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ht="15.75" customHeight="1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ht="15.75" customHeight="1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ht="15.75" customHeight="1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ht="15.75" customHeight="1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ht="15.75" customHeight="1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ht="15.75" customHeight="1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ht="15.75" customHeight="1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ht="15.75" customHeight="1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ht="15.75" customHeight="1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ht="15.75" customHeight="1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ht="15.75" customHeight="1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ht="15.75" customHeight="1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ht="15.75" customHeight="1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ht="15.75" customHeight="1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ht="15.75" customHeight="1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ht="15.75" customHeight="1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ht="15.75" customHeight="1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ht="15.75" customHeight="1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ht="15.75" customHeight="1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ht="15.75" customHeight="1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ht="15.75" customHeight="1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ht="15.75" customHeight="1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ht="15.75" customHeight="1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ht="15.75" customHeight="1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ht="15.75" customHeight="1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ht="15.75" customHeight="1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ht="15.75" customHeight="1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ht="15.75" customHeight="1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ht="15.75" customHeight="1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ht="15.75" customHeight="1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ht="15.75" customHeight="1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ht="15.75" customHeight="1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ht="15.75" customHeight="1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ht="15.75" customHeight="1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ht="15.75" customHeight="1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ht="15.75" customHeight="1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ht="15.75" customHeight="1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ht="15.75" customHeight="1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ht="15.75" customHeight="1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ht="15.75" customHeight="1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ht="15.75" customHeight="1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ht="15.75" customHeight="1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ht="15.75" customHeight="1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ht="15.75" customHeight="1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ht="15.75" customHeight="1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ht="15.75" customHeight="1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ht="15.75" customHeight="1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ht="15.75" customHeight="1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ht="15.75" customHeight="1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ht="15.75" customHeight="1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ht="15.75" customHeight="1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ht="15.75" customHeight="1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ht="15.75" customHeight="1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ht="15.75" customHeight="1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ht="15.75" customHeight="1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ht="15.75" customHeight="1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ht="15.75" customHeight="1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ht="15.75" customHeight="1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ht="15.75" customHeight="1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ht="15.75" customHeight="1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ht="15.75" customHeight="1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ht="15.75" customHeight="1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ht="15.75" customHeight="1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ht="15.75" customHeight="1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ht="15.75" customHeight="1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ht="15.75" customHeight="1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ht="15.75" customHeight="1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ht="15.75" customHeight="1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ht="15.75" customHeight="1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ht="15.75" customHeight="1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ht="15.75" customHeight="1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ht="15.75" customHeight="1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ht="15.75" customHeight="1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ht="15.75" customHeight="1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ht="15.75" customHeight="1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ht="15.75" customHeight="1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ht="15.75" customHeight="1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ht="15.75" customHeight="1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ht="15.75" customHeight="1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ht="15.75" customHeight="1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ht="15.75" customHeight="1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ht="15.75" customHeight="1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ht="15.75" customHeight="1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ht="15.75" customHeight="1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ht="15.75" customHeight="1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ht="15.75" customHeight="1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ht="15.75" customHeight="1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ht="15.75" customHeight="1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ht="15.75" customHeight="1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ht="15.75" customHeight="1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ht="15.75" customHeight="1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ht="15.75" customHeight="1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ht="15.75" customHeight="1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ht="15.75" customHeight="1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ht="15.75" customHeight="1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ht="15.75" customHeight="1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ht="15.75" customHeight="1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ht="15.75" customHeight="1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ht="15.75" customHeight="1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ht="15.75" customHeight="1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ht="15.75" customHeight="1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ht="15.75" customHeight="1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ht="15.75" customHeight="1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ht="15.75" customHeight="1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ht="15.75" customHeight="1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ht="15.75" customHeight="1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ht="15.75" customHeight="1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ht="15.75" customHeight="1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ht="15.75" customHeight="1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ht="15.75" customHeight="1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ht="15.75" customHeight="1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ht="15.75" customHeight="1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ht="15.75" customHeight="1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ht="15.75" customHeight="1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ht="15.75" customHeight="1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ht="15.75" customHeight="1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ht="15.75" customHeight="1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ht="15.75" customHeight="1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ht="15.75" customHeight="1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ht="15.75" customHeight="1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ht="15.75" customHeight="1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ht="15.75" customHeight="1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ht="15.75" customHeight="1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ht="15.75" customHeight="1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ht="15.75" customHeight="1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ht="15.75" customHeight="1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ht="15.75" customHeight="1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ht="15.75" customHeight="1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ht="15.75" customHeight="1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ht="15.75" customHeight="1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ht="15.75" customHeight="1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ht="15.75" customHeight="1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ht="15.75" customHeight="1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ht="15.75" customHeight="1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ht="15.75" customHeight="1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ht="15.75" customHeight="1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ht="15.75" customHeight="1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ht="15.75" customHeight="1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ht="15.75" customHeight="1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ht="15.75" customHeight="1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ht="15.75" customHeight="1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ht="15.75" customHeight="1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ht="15.75" customHeight="1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ht="15.75" customHeight="1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ht="15.75" customHeight="1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ht="15.75" customHeight="1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ht="15.75" customHeight="1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ht="15.75" customHeight="1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ht="15.75" customHeight="1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ht="15.75" customHeight="1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ht="15.75" customHeight="1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ht="15.75" customHeight="1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ht="15.75" customHeight="1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ht="15.75" customHeight="1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ht="15.75" customHeight="1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ht="15.75" customHeight="1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ht="15.75" customHeight="1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ht="15.75" customHeight="1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ht="15.75" customHeight="1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ht="15.75" customHeight="1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ht="15.75" customHeight="1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ht="15.75" customHeight="1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ht="15.75" customHeight="1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ht="15.75" customHeight="1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ht="15.75" customHeight="1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ht="15.75" customHeight="1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ht="15.75" customHeight="1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ht="15.75" customHeight="1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ht="15.75" customHeight="1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ht="15.75" customHeight="1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ht="15.75" customHeight="1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ht="15.75" customHeight="1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ht="15.75" customHeight="1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ht="15.75" customHeight="1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ht="15.75" customHeight="1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ht="15.75" customHeight="1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ht="15.75" customHeight="1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ht="15.75" customHeight="1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ht="15.75" customHeight="1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ht="15.75" customHeight="1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ht="15.75" customHeight="1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ht="15.75" customHeight="1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ht="15.75" customHeight="1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ht="15.75" customHeight="1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ht="15.75" customHeight="1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ht="15.75" customHeight="1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ht="15.75" customHeight="1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ht="15.75" customHeight="1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ht="15.75" customHeight="1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ht="15.75" customHeight="1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ht="15.75" customHeight="1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ht="15.75" customHeight="1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ht="15.75" customHeight="1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ht="15.75" customHeight="1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ht="15.75" customHeight="1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ht="15.75" customHeight="1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ht="15.75" customHeight="1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ht="15.75" customHeight="1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ht="15.75" customHeight="1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ht="15.75" customHeight="1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ht="15.75" customHeight="1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ht="15.75" customHeight="1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ht="15.75" customHeight="1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ht="15.75" customHeight="1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ht="15.75" customHeight="1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ht="15.75" customHeight="1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ht="15.75" customHeight="1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ht="15.75" customHeight="1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ht="15.75" customHeight="1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ht="15.75" customHeight="1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ht="15.75" customHeight="1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ht="15.75" customHeight="1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ht="15.75" customHeight="1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ht="15.75" customHeight="1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ht="15.75" customHeight="1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ht="15.75" customHeight="1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ht="15.75" customHeight="1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ht="15.75" customHeight="1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ht="15.75" customHeight="1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ht="15.75" customHeight="1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ht="15.75" customHeight="1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ht="15.75" customHeight="1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ht="15.75" customHeight="1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ht="15.75" customHeight="1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ht="15.75" customHeight="1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ht="15.75" customHeight="1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ht="15.75" customHeight="1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ht="15.75" customHeight="1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ht="15.75" customHeight="1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ht="15.75" customHeight="1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ht="15.75" customHeight="1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ht="15.75" customHeight="1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ht="15.75" customHeight="1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ht="15.75" customHeight="1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ht="15.75" customHeight="1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ht="15.75" customHeight="1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ht="15.75" customHeight="1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ht="15.75" customHeight="1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ht="15.75" customHeight="1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ht="15.75" customHeight="1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ht="15.75" customHeight="1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ht="15.75" customHeight="1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ht="15.75" customHeight="1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ht="15.75" customHeight="1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ht="15.75" customHeight="1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ht="15.75" customHeight="1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ht="15.75" customHeight="1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ht="15.75" customHeight="1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ht="15.75" customHeight="1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ht="15.75" customHeight="1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ht="15.75" customHeight="1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ht="15.75" customHeight="1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ht="15.75" customHeight="1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ht="15.75" customHeight="1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ht="15.75" customHeight="1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ht="15.75" customHeight="1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ht="15.75" customHeight="1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ht="15.75" customHeight="1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ht="15.75" customHeight="1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ht="15.75" customHeight="1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ht="15.75" customHeight="1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ht="15.75" customHeight="1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ht="15.75" customHeight="1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ht="15.75" customHeight="1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ht="15.75" customHeight="1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ht="15.75" customHeight="1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ht="15.75" customHeight="1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ht="15.75" customHeight="1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ht="15.75" customHeight="1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ht="15.75" customHeight="1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ht="15.75" customHeight="1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ht="15.75" customHeight="1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ht="15.75" customHeight="1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ht="15.75" customHeight="1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ht="15.75" customHeight="1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ht="15.75" customHeight="1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ht="15.75" customHeight="1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ht="15.75" customHeight="1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ht="15.75" customHeight="1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ht="15.75" customHeight="1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ht="15.75" customHeight="1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ht="15.75" customHeight="1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ht="15.75" customHeight="1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ht="15.75" customHeight="1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ht="15.75" customHeight="1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ht="15.75" customHeight="1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ht="15.75" customHeight="1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ht="15.75" customHeight="1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ht="15.75" customHeight="1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ht="15.75" customHeight="1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ht="15.75" customHeight="1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ht="15.75" customHeight="1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ht="15.75" customHeight="1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ht="15.75" customHeight="1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ht="15.75" customHeight="1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ht="15.75" customHeight="1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ht="15.75" customHeight="1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ht="15.75" customHeight="1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ht="15.75" customHeight="1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ht="15.75" customHeight="1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ht="15.75" customHeight="1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ht="15.75" customHeight="1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ht="15.75" customHeight="1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ht="15.75" customHeight="1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ht="15.75" customHeight="1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ht="15.75" customHeight="1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ht="15.75" customHeight="1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ht="15.75" customHeight="1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ht="15.75" customHeight="1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ht="15.75" customHeight="1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ht="15.75" customHeight="1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ht="15.75" customHeight="1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ht="15.75" customHeight="1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ht="15.75" customHeight="1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ht="15.75" customHeight="1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ht="15.75" customHeight="1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ht="15.75" customHeight="1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ht="15.75" customHeight="1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ht="15.75" customHeight="1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ht="15.75" customHeight="1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ht="15.75" customHeight="1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ht="15.75" customHeight="1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ht="15.75" customHeight="1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ht="15.75" customHeight="1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ht="15.75" customHeight="1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ht="15.75" customHeight="1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ht="15.75" customHeight="1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ht="15.75" customHeight="1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ht="15.75" customHeight="1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ht="15.75" customHeight="1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ht="15.75" customHeight="1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ht="15.75" customHeight="1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ht="15.75" customHeight="1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ht="15.75" customHeight="1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ht="15.75" customHeight="1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ht="15.75" customHeight="1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ht="15.75" customHeight="1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ht="15.75" customHeight="1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ht="15.75" customHeight="1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ht="15.75" customHeight="1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ht="15.75" customHeight="1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ht="15.75" customHeight="1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ht="15.75" customHeight="1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ht="15.75" customHeight="1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ht="15.75" customHeight="1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ht="15.75" customHeight="1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ht="15.75" customHeight="1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ht="15.75" customHeight="1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ht="15.75" customHeight="1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ht="15.75" customHeight="1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ht="15.75" customHeight="1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ht="15.75" customHeight="1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ht="15.75" customHeight="1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ht="15.75" customHeight="1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ht="15.75" customHeight="1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ht="15.75" customHeight="1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ht="15.75" customHeight="1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ht="15.75" customHeight="1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ht="15.75" customHeight="1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ht="15.75" customHeight="1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ht="15.75" customHeight="1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ht="15.75" customHeight="1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ht="15.75" customHeight="1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ht="15.75" customHeight="1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ht="15.75" customHeight="1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ht="15.75" customHeight="1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ht="15.75" customHeight="1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ht="15.75" customHeight="1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ht="15.75" customHeight="1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ht="15.75" customHeight="1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ht="15.75" customHeight="1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ht="15.75" customHeight="1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ht="15.75" customHeight="1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ht="15.75" customHeight="1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ht="15.75" customHeight="1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ht="15.75" customHeight="1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ht="15.75" customHeight="1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ht="15.75" customHeight="1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ht="15.75" customHeight="1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ht="15.75" customHeight="1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ht="15.75" customHeight="1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ht="15.75" customHeight="1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ht="15.75" customHeight="1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ht="15.75" customHeight="1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ht="15.75" customHeight="1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ht="15.75" customHeight="1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ht="15.75" customHeight="1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ht="15.75" customHeight="1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ht="15.75" customHeight="1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ht="15.75" customHeight="1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ht="15.75" customHeight="1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ht="15.75" customHeight="1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ht="15.75" customHeight="1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ht="15.75" customHeight="1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ht="15.75" customHeight="1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ht="15.75" customHeight="1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ht="15.75" customHeight="1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ht="15.75" customHeight="1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ht="15.75" customHeight="1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ht="15.75" customHeight="1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ht="15.75" customHeight="1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ht="15.75" customHeight="1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ht="15.75" customHeight="1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ht="15.75" customHeight="1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ht="15.75" customHeight="1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ht="15.75" customHeight="1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ht="15.75" customHeight="1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ht="15.75" customHeight="1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ht="15.75" customHeight="1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ht="15.75" customHeight="1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ht="15.75" customHeight="1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ht="15.75" customHeight="1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ht="15.75" customHeight="1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ht="15.75" customHeight="1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ht="15.75" customHeight="1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ht="15.75" customHeight="1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ht="15.75" customHeight="1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ht="15.75" customHeight="1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ht="15.75" customHeight="1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ht="15.75" customHeight="1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ht="15.75" customHeight="1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ht="15.75" customHeight="1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ht="15.75" customHeight="1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ht="15.75" customHeight="1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ht="15.75" customHeight="1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ht="15.75" customHeight="1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ht="15.75" customHeight="1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ht="15.75" customHeight="1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ht="15.75" customHeight="1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ht="15.75" customHeight="1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ht="15.75" customHeight="1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ht="15.75" customHeight="1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ht="15.75" customHeight="1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ht="15.75" customHeight="1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ht="15.75" customHeight="1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ht="15.75" customHeight="1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ht="15.75" customHeight="1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ht="15.75" customHeight="1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ht="15.75" customHeight="1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ht="15.75" customHeight="1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ht="15.75" customHeight="1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ht="15.75" customHeight="1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ht="15.75" customHeight="1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ht="15.75" customHeight="1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ht="15.75" customHeight="1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ht="15.75" customHeight="1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ht="15.75" customHeight="1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ht="15.75" customHeight="1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ht="15.75" customHeight="1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ht="15.75" customHeight="1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ht="15.75" customHeight="1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ht="15.75" customHeight="1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ht="15.75" customHeight="1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ht="15.75" customHeight="1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ht="15.75" customHeight="1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ht="15.75" customHeight="1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ht="15.75" customHeight="1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ht="15.75" customHeight="1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ht="15.75" customHeight="1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ht="15.75" customHeight="1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ht="15.75" customHeight="1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ht="15.75" customHeight="1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ht="15.75" customHeight="1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ht="15.75" customHeight="1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ht="15.75" customHeight="1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ht="15.75" customHeight="1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ht="15.75" customHeight="1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ht="15.75" customHeight="1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ht="15.75" customHeight="1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ht="15.75" customHeight="1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ht="15.75" customHeight="1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ht="15.75" customHeight="1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ht="15.75" customHeight="1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ht="15.75" customHeight="1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ht="15.75" customHeight="1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ht="15.75" customHeight="1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ht="15.75" customHeight="1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ht="15.75" customHeight="1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ht="15.75" customHeight="1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ht="15.75" customHeight="1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ht="15.75" customHeight="1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ht="15.75" customHeight="1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ht="15.75" customHeight="1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ht="15.75" customHeight="1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ht="15.75" customHeight="1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ht="15.75" customHeight="1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ht="15.75" customHeight="1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ht="15.75" customHeight="1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ht="15.75" customHeight="1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ht="15.75" customHeight="1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ht="15.75" customHeight="1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ht="15.75" customHeight="1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ht="15.75" customHeight="1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ht="15.75" customHeight="1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ht="15.75" customHeight="1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ht="15.75" customHeight="1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ht="15.75" customHeight="1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ht="15.75" customHeight="1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ht="15.75" customHeight="1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ht="15.75" customHeight="1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ht="15.75" customHeight="1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ht="15.75" customHeight="1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ht="15.75" customHeight="1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ht="15.75" customHeight="1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ht="15.75" customHeight="1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ht="15.75" customHeight="1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ht="15.75" customHeight="1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ht="15.75" customHeight="1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ht="15.75" customHeight="1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ht="15.75" customHeight="1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ht="15.75" customHeight="1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ht="15.75" customHeight="1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ht="15.75" customHeight="1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ht="15.75" customHeight="1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ht="15.75" customHeight="1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ht="15.75" customHeight="1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ht="15.75" customHeight="1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ht="15.75" customHeight="1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ht="15.75" customHeight="1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ht="15.75" customHeight="1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ht="15.75" customHeight="1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ht="15.75" customHeight="1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ht="15.75" customHeight="1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ht="15.75" customHeight="1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ht="15.75" customHeight="1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ht="15.75" customHeight="1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ht="15.75" customHeight="1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ht="15.75" customHeight="1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ht="15.75" customHeight="1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ht="15.75" customHeight="1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ht="15.75" customHeight="1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ht="15.75" customHeight="1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ht="15.75" customHeight="1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ht="15.75" customHeight="1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ht="15.75" customHeight="1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ht="15.75" customHeight="1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ht="15.75" customHeight="1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ht="15.75" customHeight="1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ht="15.75" customHeight="1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ht="15.75" customHeight="1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ht="15.75" customHeight="1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ht="15.75" customHeight="1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ht="15.75" customHeight="1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ht="15.75" customHeight="1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ht="15.75" customHeight="1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ht="15.75" customHeight="1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ht="15.75" customHeight="1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ht="15.75" customHeight="1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ht="15.75" customHeight="1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ht="15.75" customHeight="1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</sheetData>
  <mergeCells count="6">
    <mergeCell ref="A1:N1"/>
    <mergeCell ref="A2:N2"/>
    <mergeCell ref="A7:C7"/>
    <mergeCell ref="D7:F7"/>
    <mergeCell ref="G7:J7"/>
    <mergeCell ref="K7:N7"/>
  </mergeCells>
  <conditionalFormatting sqref="D9:N134">
    <cfRule type="expression" dxfId="0" priority="1">
      <formula>ISNUMBER(SEARCH("GREEN",D9))</formula>
    </cfRule>
  </conditionalFormatting>
  <conditionalFormatting sqref="D9:N134">
    <cfRule type="expression" dxfId="1" priority="2">
      <formula>ISNUMBER(SEARCH("YELLOW",D9))</formula>
    </cfRule>
  </conditionalFormatting>
  <conditionalFormatting sqref="D9:N134">
    <cfRule type="expression" dxfId="2" priority="3">
      <formula>ISNUMBER(SEARCH("RED",D9))</formula>
    </cfRule>
  </conditionalFormatting>
  <printOptions/>
  <pageMargins bottom="0.75" footer="0.0" header="0.0" left="0.7" right="0.7" top="0.75"/>
  <pageSetup orientation="landscape"/>
  <drawing r:id="rId1"/>
</worksheet>
</file>